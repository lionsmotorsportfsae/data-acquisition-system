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tables/table9.xml" ContentType="application/vnd.openxmlformats-officedocument.spreadsheetml.table+xml"/>
  <Override PartName="/xl/worksheets/sheet11.xml" ContentType="application/vnd.openxmlformats-officedocument.spreadsheetml.worksheet+xml"/>
  <Override PartName="/xl/tables/table10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e910215ef5a408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TART HERE" sheetId="1" r:id="R096463b03e1f4c2c"/>
    <x:sheet xmlns:r="http://schemas.openxmlformats.org/officeDocument/2006/relationships" name="CM4 Carrier" sheetId="2" r:id="Ra259f751fa8347a6"/>
    <x:sheet xmlns:r="http://schemas.openxmlformats.org/officeDocument/2006/relationships" name="Front MCU Node" sheetId="3" r:id="R6b11f703ad554c46"/>
    <x:sheet xmlns:r="http://schemas.openxmlformats.org/officeDocument/2006/relationships" name="Rear MCU Node" sheetId="4" r:id="Rc2a5ea6862f14cbd"/>
    <x:sheet xmlns:r="http://schemas.openxmlformats.org/officeDocument/2006/relationships" name="Sensors" sheetId="6" r:id="R6125d564af674285"/>
    <x:sheet xmlns:r="http://schemas.openxmlformats.org/officeDocument/2006/relationships" name="Harnessing &amp; Connectors" sheetId="7" r:id="Rdebec3413636422a"/>
    <x:sheet xmlns:r="http://schemas.openxmlformats.org/officeDocument/2006/relationships" name="Networking - Car" sheetId="8" r:id="R9456dca13e334122"/>
    <x:sheet xmlns:r="http://schemas.openxmlformats.org/officeDocument/2006/relationships" name="Networking - Pit" sheetId="9" r:id="R3b3b729587254957"/>
    <x:sheet xmlns:r="http://schemas.openxmlformats.org/officeDocument/2006/relationships" name="Server &amp; Storage" sheetId="10" r:id="Rb4d2866e196b4ec9"/>
    <x:sheet xmlns:r="http://schemas.openxmlformats.org/officeDocument/2006/relationships" name="Enclosure &amp; Mounting" sheetId="12" r:id="Rccfa106b87c54f38"/>
    <x:sheet xmlns:r="http://schemas.openxmlformats.org/officeDocument/2006/relationships" name="Test &amp; Spares" sheetId="13" r:id="R4b731c3187a148f0"/>
    <x:sheet xmlns:r="http://schemas.openxmlformats.org/officeDocument/2006/relationships" name="Design Decisions" sheetId="14" r:id="R333eb8da2e614a89"/>
    <x:sheet xmlns:r="http://schemas.openxmlformats.org/officeDocument/2006/relationships" name="Testing &amp; Dev Boards" sheetId="15" r:id="R36072f1c1cb440c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$#,##0.00"/>
  </x:numFmts>
  <x:fonts count="2">
    <x:font>
      <x:sz val="11"/>
      <x:name val="Carlito"/>
    </x:font>
    <x:font>
      <x:b/>
      <x:sz val="11"/>
      <x:color rgb="FFFFFFFF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6324F"/>
      </x:patternFill>
    </x:fill>
    <x:fill>
      <x:patternFill patternType="solid">
        <x:fgColor rgb="FF16324F"/>
      </x:patternFill>
    </x:fill>
  </x:fills>
  <x:borders count="2">
    <x:border/>
    <x:border/>
  </x:borders>
  <x:cellStyleXfs count="1">
    <x:xf numFmtId="0" fontId="0" fillId="0" borderId="0"/>
  </x:cellStyleXfs>
  <x:cellXfs count="13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0" fontId="0" fillId="0" borderId="0" xfId="0" applyNumberFormat="1" applyFont="1" applyFill="1" applyBorder="1"/>
    <x:xf numFmtId="0" fontId="0" fillId="3" borderId="0" xfId="0" applyNumberFormat="1" applyFont="1" applyFill="1" applyBorder="1"/>
    <x:xf numFmtId="0" fontId="1" fillId="3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254cc38c0e947d2" /><Relationship Type="http://schemas.openxmlformats.org/officeDocument/2006/relationships/theme" Target="/xl/theme/theme1.xml" Id="R21d4d53a942e419b" /><Relationship Type="http://schemas.openxmlformats.org/officeDocument/2006/relationships/sharedStrings" Target="/xl/sharedStrings.xml" Id="R4f4906483e994234" /><Relationship Type="http://schemas.openxmlformats.org/officeDocument/2006/relationships/worksheet" Target="/xl/worksheets/sheet1.xml" Id="R096463b03e1f4c2c" /><Relationship Type="http://schemas.openxmlformats.org/officeDocument/2006/relationships/worksheet" Target="/xl/worksheets/sheet2.xml" Id="Ra259f751fa8347a6" /><Relationship Type="http://schemas.openxmlformats.org/officeDocument/2006/relationships/worksheet" Target="/xl/worksheets/sheet3.xml" Id="R6b11f703ad554c46" /><Relationship Type="http://schemas.openxmlformats.org/officeDocument/2006/relationships/worksheet" Target="/xl/worksheets/sheet4.xml" Id="Rc2a5ea6862f14cbd" /><Relationship Type="http://schemas.openxmlformats.org/officeDocument/2006/relationships/worksheet" Target="/xl/worksheets/sheet5.xml" Id="R6125d564af674285" /><Relationship Type="http://schemas.openxmlformats.org/officeDocument/2006/relationships/worksheet" Target="/xl/worksheets/sheet6.xml" Id="Rdebec3413636422a" /><Relationship Type="http://schemas.openxmlformats.org/officeDocument/2006/relationships/worksheet" Target="/xl/worksheets/sheet7.xml" Id="R9456dca13e334122" /><Relationship Type="http://schemas.openxmlformats.org/officeDocument/2006/relationships/worksheet" Target="/xl/worksheets/sheet8.xml" Id="R3b3b729587254957" /><Relationship Type="http://schemas.openxmlformats.org/officeDocument/2006/relationships/worksheet" Target="/xl/worksheets/sheet9.xml" Id="Rb4d2866e196b4ec9" /><Relationship Type="http://schemas.openxmlformats.org/officeDocument/2006/relationships/worksheet" Target="/xl/worksheets/sheet10.xml" Id="Rccfa106b87c54f38" /><Relationship Type="http://schemas.openxmlformats.org/officeDocument/2006/relationships/worksheet" Target="/xl/worksheets/sheet11.xml" Id="R4b731c3187a148f0" /><Relationship Type="http://schemas.openxmlformats.org/officeDocument/2006/relationships/worksheet" Target="/xl/worksheets/sheet12.xml" Id="R333eb8da2e614a89" /><Relationship Type="http://schemas.openxmlformats.org/officeDocument/2006/relationships/worksheet" Target="/xl/worksheets/sheet13.xml" Id="R36072f1c1cb440c6" /></Relationships>
</file>

<file path=xl/tables/table1.xml><?xml version="1.0" encoding="utf-8"?>
<x:table xmlns:x="http://schemas.openxmlformats.org/spreadsheetml/2006/main" id="1" name="SubsystemTable1" displayName="SubsystemTable1" ref="A1:K9" headerRowCount="1" totalsRowCount="0" totalsRowShown="0">
  <x:tableColumns count="11">
    <x:tableColumn id="1" name="ID"/>
    <x:tableColumn id="2" name="Item / Function"/>
    <x:tableColumn id="3" name="Candidate / Part"/>
    <x:tableColumn id="4" name="Qty"/>
    <x:tableColumn id="5" name="Unit Cost (USD)"/>
    <x:tableColumn id="6" name="Extended Cost (USD)"/>
    <x:tableColumn id="7" name="Status"/>
    <x:tableColumn id="8" name="Priority"/>
    <x:tableColumn id="9" name="Owner"/>
    <x:tableColumn id="10" name="Vendor / Link"/>
    <x:tableColumn id="11" name="Notes / Decision Needed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SubsystemTable2" displayName="SubsystemTable2" ref="A1:K5" headerRowCount="1" totalsRowCount="0" totalsRowShown="0">
  <x:tableColumns count="11">
    <x:tableColumn id="1" name="ID"/>
    <x:tableColumn id="2" name="Item / Function"/>
    <x:tableColumn id="3" name="Candidate / Part"/>
    <x:tableColumn id="4" name="Qty"/>
    <x:tableColumn id="5" name="Unit Cost (USD)"/>
    <x:tableColumn id="6" name="Extended Cost (USD)"/>
    <x:tableColumn id="7" name="Status"/>
    <x:tableColumn id="8" name="Priority"/>
    <x:tableColumn id="9" name="Owner"/>
    <x:tableColumn id="10" name="Vendor / Link"/>
    <x:tableColumn id="11" name="Notes / Decision Needed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SubsystemTable3" displayName="SubsystemTable3" ref="A1:K5" headerRowCount="1" totalsRowCount="0" totalsRowShown="0">
  <x:tableColumns count="11">
    <x:tableColumn id="1" name="ID"/>
    <x:tableColumn id="2" name="Item / Function"/>
    <x:tableColumn id="3" name="Candidate / Part"/>
    <x:tableColumn id="4" name="Qty"/>
    <x:tableColumn id="5" name="Unit Cost (USD)"/>
    <x:tableColumn id="6" name="Extended Cost (USD)"/>
    <x:tableColumn id="7" name="Status"/>
    <x:tableColumn id="8" name="Priority"/>
    <x:tableColumn id="9" name="Owner"/>
    <x:tableColumn id="10" name="Vendor / Link"/>
    <x:tableColumn id="11" name="Notes / Decision Needed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5" name="SubsystemTable5" displayName="SubsystemTable5" ref="A1:K2" headerRowCount="1" totalsRowCount="0" totalsRowShown="0">
  <x:tableColumns count="11">
    <x:tableColumn id="1" name="ID"/>
    <x:tableColumn id="2" name="Item / Function"/>
    <x:tableColumn id="3" name="Candidate / Part"/>
    <x:tableColumn id="4" name="Qty"/>
    <x:tableColumn id="5" name="Unit Cost (USD)"/>
    <x:tableColumn id="6" name="Extended Cost (USD)"/>
    <x:tableColumn id="7" name="Status"/>
    <x:tableColumn id="8" name="Priority"/>
    <x:tableColumn id="9" name="Owner"/>
    <x:tableColumn id="10" name="Vendor / Link"/>
    <x:tableColumn id="11" name="Notes / Decision Needed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6" name="SubsystemTable6" displayName="SubsystemTable6" ref="A1:K4" headerRowCount="1" totalsRowCount="0" totalsRowShown="0">
  <x:tableColumns count="11">
    <x:tableColumn id="1" name="ID"/>
    <x:tableColumn id="2" name="Item / Function"/>
    <x:tableColumn id="3" name="Candidate / Part"/>
    <x:tableColumn id="4" name="Qty"/>
    <x:tableColumn id="5" name="Unit Cost (USD)"/>
    <x:tableColumn id="6" name="Extended Cost (USD)"/>
    <x:tableColumn id="7" name="Status"/>
    <x:tableColumn id="8" name="Priority"/>
    <x:tableColumn id="9" name="Owner"/>
    <x:tableColumn id="10" name="Vendor / Link"/>
    <x:tableColumn id="11" name="Notes / Decision Needed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7" name="SubsystemTable7" displayName="SubsystemTable7" ref="A1:K5" headerRowCount="1" totalsRowCount="0" totalsRowShown="0">
  <x:tableColumns count="11">
    <x:tableColumn id="1" name="ID"/>
    <x:tableColumn id="2" name="Item / Function"/>
    <x:tableColumn id="3" name="Candidate / Part"/>
    <x:tableColumn id="4" name="Qty"/>
    <x:tableColumn id="5" name="Unit Cost (USD)"/>
    <x:tableColumn id="6" name="Extended Cost (USD)"/>
    <x:tableColumn id="7" name="Status"/>
    <x:tableColumn id="8" name="Priority"/>
    <x:tableColumn id="9" name="Owner"/>
    <x:tableColumn id="10" name="Vendor / Link"/>
    <x:tableColumn id="11" name="Notes / Decision Nee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8" name="SubsystemTable8" displayName="SubsystemTable8" ref="A1:K7" headerRowCount="1" totalsRowCount="0" totalsRowShown="0">
  <x:tableColumns count="11">
    <x:tableColumn id="1" name="ID"/>
    <x:tableColumn id="2" name="Item / Function"/>
    <x:tableColumn id="3" name="Candidate / Part"/>
    <x:tableColumn id="4" name="Qty"/>
    <x:tableColumn id="5" name="Unit Cost (USD)"/>
    <x:tableColumn id="6" name="Extended Cost (USD)"/>
    <x:tableColumn id="7" name="Status"/>
    <x:tableColumn id="8" name="Priority"/>
    <x:tableColumn id="9" name="Owner"/>
    <x:tableColumn id="10" name="Vendor / Link"/>
    <x:tableColumn id="11" name="Notes / Decision Needed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9" name="SubsystemTable9" displayName="SubsystemTable9" ref="A1:K3" headerRowCount="1" totalsRowCount="0" totalsRowShown="0">
  <x:tableColumns count="11">
    <x:tableColumn id="1" name="ID"/>
    <x:tableColumn id="2" name="Item / Function"/>
    <x:tableColumn id="3" name="Candidate / Part"/>
    <x:tableColumn id="4" name="Qty"/>
    <x:tableColumn id="5" name="Unit Cost (USD)"/>
    <x:tableColumn id="6" name="Extended Cost (USD)"/>
    <x:tableColumn id="7" name="Status"/>
    <x:tableColumn id="8" name="Priority"/>
    <x:tableColumn id="9" name="Owner"/>
    <x:tableColumn id="10" name="Vendor / Link"/>
    <x:tableColumn id="11" name="Notes / Decision Needed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11" name="SubsystemTable11" displayName="SubsystemTable11" ref="A1:K3" headerRowCount="1" totalsRowCount="0" totalsRowShown="0">
  <x:tableColumns count="11">
    <x:tableColumn id="1" name="ID"/>
    <x:tableColumn id="2" name="Item / Function"/>
    <x:tableColumn id="3" name="Candidate / Part"/>
    <x:tableColumn id="4" name="Qty"/>
    <x:tableColumn id="5" name="Unit Cost (USD)"/>
    <x:tableColumn id="6" name="Extended Cost (USD)"/>
    <x:tableColumn id="7" name="Status"/>
    <x:tableColumn id="8" name="Priority"/>
    <x:tableColumn id="9" name="Owner"/>
    <x:tableColumn id="10" name="Vendor / Link"/>
    <x:tableColumn id="11" name="Notes / Decision Needed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2" name="SubsystemTable12" displayName="SubsystemTable12" ref="A1:K3" headerRowCount="1" totalsRowCount="0" totalsRowShown="0">
  <x:tableColumns count="11">
    <x:tableColumn id="1" name="ID"/>
    <x:tableColumn id="2" name="Item / Function"/>
    <x:tableColumn id="3" name="Candidate / Part"/>
    <x:tableColumn id="4" name="Qty"/>
    <x:tableColumn id="5" name="Unit Cost (USD)"/>
    <x:tableColumn id="6" name="Extended Cost (USD)"/>
    <x:tableColumn id="7" name="Status"/>
    <x:tableColumn id="8" name="Priority"/>
    <x:tableColumn id="9" name="Owner"/>
    <x:tableColumn id="10" name="Vendor / Link"/>
    <x:tableColumn id="11" name="Notes / Decision Needed"/>
  </x:tableColumns>
  <x:tableStyleInfo name="TableStyleMedium2" showFirstColumn="0" showLastColumn="0" showRowStripes="1" showColumnStripes="0"/>
</x:table>
</file>

<file path=xl/tables/table11.xml><?xml version="1.0" encoding="utf-8"?>
<x:table xmlns:x="http://schemas.openxmlformats.org/spreadsheetml/2006/main" id="13" name="TestingDevBoardsTable" displayName="TestingDevBoardsTable" ref="A1:K3" headerRowCount="1" totalsRowCount="0" totalsRowShown="0">
  <x:tableColumns count="11">
    <x:tableColumn id="1" name="ID"/>
    <x:tableColumn id="2" name="Item / Function"/>
    <x:tableColumn id="3" name="Candidate / Part"/>
    <x:tableColumn id="4" name="Qty"/>
    <x:tableColumn id="5" name="Unit Cost (USD)"/>
    <x:tableColumn id="6" name="Extended Cost (USD)"/>
    <x:tableColumn id="7" name="Status"/>
    <x:tableColumn id="8" name="Priority"/>
    <x:tableColumn id="9" name="Owner"/>
    <x:tableColumn id="10" name="Vendor / Link"/>
    <x:tableColumn id="11" name="Notes / Decision Needed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f2a6d052f11744e6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ad487f686d6140c3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540f8a587fc54e32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dc5a74c23fde4246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db939c3daf784341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5e46ff31f9fd4ba1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d944a9d49ef04130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125324b96f794f1b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9.xml" Id="R8e3b9d99795b4c32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10.xml" Id="R996b95db2e154683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1.xml" Id="R559cef764a8e401a" /></Relationships>
</file>

<file path=xl/worksheets/sheet1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24" hidden="0" customWidth="1"/>
    <x:col min="2" max="2" width="94" hidden="0" customWidth="1"/>
  </x:cols>
  <x:sheetData>
    <x:row r="1" ht="32" customHeight="1">
      <x:c r="A1" s="3" t="str">
        <x:v>FSAE DAQ — SUBSYSTEM BOM</x:v>
      </x:c>
      <x:c r="B1" s="3" t="str"/>
    </x:row>
    <x:row r="2" ht="34" customHeight="1">
      <x:c r="A2" t="str">
        <x:v>How to use</x:v>
      </x:c>
      <x:c r="B2" s="6" t="str">
        <x:v>Each subsystem has its own editable tab. No duplicate master list.</x:v>
      </x:c>
    </x:row>
    <x:row r="3" ht="34" customHeight="1">
      <x:c r="A3" t="str">
        <x:v>Collaboration</x:v>
      </x:c>
      <x:c r="B3" s="6" t="str">
        <x:v>Share the workbook; edit the subsystem tab for the component being discussed.</x:v>
      </x:c>
    </x:row>
    <x:row r="4" ht="34" customHeight="1">
      <x:c r="A4" t="str">
        <x:v>Costs</x:v>
      </x:c>
      <x:c r="B4" s="6" t="str">
        <x:v>Enter unit prices in USD; extended prices calculate automatically.</x:v>
      </x:c>
    </x:row>
    <x:row r="5" ht="34" customHeight="1">
      <x:c r="A5" t="str">
        <x:v>Status</x:v>
      </x:c>
      <x:c r="B5" s="6" t="str">
        <x:v>Candidates and alternatives are NOT approved purchase selections.</x:v>
      </x:c>
    </x:row>
    <x:row r="6" ht="34" customHeight="1">
      <x:c r="A6" t="str">
        <x:v>Revision</x:v>
      </x:c>
      <x:c r="B6" s="6" t="str">
        <x:v>Rev I — RJ45 reference-design MagJack and Ethernet ESD/LED/cap components added from CM4 datasheet Fig. 2; verify against official IO Board KiCad BOM.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3" hidden="0" customWidth="1"/>
    <x:col min="2" max="2" width="32" hidden="0" customWidth="1"/>
    <x:col min="3" max="3" width="54" hidden="0" customWidth="1"/>
    <x:col min="4" max="4" width="10" hidden="0" customWidth="1"/>
    <x:col min="5" max="5" width="19" hidden="0" customWidth="1"/>
    <x:col min="6" max="6" width="22" hidden="0" customWidth="1"/>
    <x:col min="7" max="7" width="23" hidden="0" customWidth="1"/>
    <x:col min="8" max="8" width="13" hidden="0" customWidth="1"/>
    <x:col min="9" max="9" width="18" hidden="0" customWidth="1"/>
    <x:col min="10" max="10" width="62" hidden="0" customWidth="1"/>
    <x:col min="11" max="11" width="83" hidden="0" customWidth="1"/>
  </x:cols>
  <x:sheetData>
    <x:row r="1" ht="32" customHeight="1">
      <x:c r="A1" s="3" t="str">
        <x:v>ID</x:v>
      </x:c>
      <x:c r="B1" s="3" t="str">
        <x:v>Item / Function</x:v>
      </x:c>
      <x:c r="C1" s="3" t="str">
        <x:v>Candidate / Part</x:v>
      </x:c>
      <x:c r="D1" s="3" t="str">
        <x:v>Qty</x:v>
      </x:c>
      <x:c r="E1" s="3" t="str">
        <x:v>Unit Cost (USD)</x:v>
      </x:c>
      <x:c r="F1" s="3" t="str">
        <x:v>Extended Cost (USD)</x:v>
      </x:c>
      <x:c r="G1" s="3" t="str">
        <x:v>Status</x:v>
      </x:c>
      <x:c r="H1" s="3" t="str">
        <x:v>Priority</x:v>
      </x:c>
      <x:c r="I1" s="3" t="str">
        <x:v>Owner</x:v>
      </x:c>
      <x:c r="J1" s="3" t="str">
        <x:v>Vendor / Link</x:v>
      </x:c>
      <x:c r="K1" s="3" t="str">
        <x:v>Notes / Decision Needed</x:v>
      </x:c>
    </x:row>
    <x:row r="2" ht="42" customHeight="1">
      <x:c r="A2" t="str">
        <x:v>DAQ-001</x:v>
      </x:c>
      <x:c r="B2" s="6" t="str">
        <x:v>Compute module</x:v>
      </x:c>
      <x:c r="C2" s="6" t="str">
        <x:v>Raspberry Pi CM4108032 — 8 GB RAM, 32 GB eMMC, wireless</x:v>
      </x:c>
      <x:c r="D2" t="n">
        <x:v>1</x:v>
      </x:c>
      <x:c r="E2" s="8"/>
      <x:c r="F2" s="8" t="str">
        <x:f>IF(E2="","",D2*E2)</x:f>
      </x:c>
      <x:c r="G2" t="str">
        <x:v>Selected</x:v>
      </x:c>
      <x:c r="H2" t="str">
        <x:v>High</x:v>
      </x:c>
      <x:c r="I2"/>
      <x:c r="J2"/>
      <x:c r="K2" s="6" t="str">
        <x:v>Rev A module selected: CM4 wireless, 8 GB RAM, 32 GB eMMC; OS boots from eMMC.</x:v>
      </x:c>
    </x:row>
    <x:row r="3" ht="42" customHeight="1">
      <x:c r="A3" t="str">
        <x:v>DAQ-002</x:v>
      </x:c>
      <x:c r="B3" s="6" t="str">
        <x:v>CM4 board-to-board connectors</x:v>
      </x:c>
      <x:c r="C3" s="6" t="str">
        <x:v>CM4 mating connectors</x:v>
      </x:c>
      <x:c r="D3" t="n">
        <x:v>2</x:v>
      </x:c>
      <x:c r="E3" s="8"/>
      <x:c r="F3" s="8" t="str">
        <x:f>IF(E3="","",D3*E3)</x:f>
      </x:c>
      <x:c r="G3" t="str">
        <x:v>To select</x:v>
      </x:c>
      <x:c r="H3" t="str">
        <x:v>High</x:v>
      </x:c>
      <x:c r="I3"/>
      <x:c r="J3"/>
      <x:c r="K3" s="6" t="str">
        <x:v>Verify exact connector part numbers</x:v>
      </x:c>
    </x:row>
    <x:row r="4" ht="42" customHeight="1">
      <x:c r="A4" t="str">
        <x:v>DAQ-003</x:v>
      </x:c>
      <x:c r="B4" s="6" t="str">
        <x:v>Carrier power conversion</x:v>
      </x:c>
      <x:c r="C4" s="6" t="str">
        <x:v>Protected 12 V to 5 V supply</x:v>
      </x:c>
      <x:c r="D4" t="n">
        <x:v>1</x:v>
      </x:c>
      <x:c r="E4" s="8"/>
      <x:c r="F4" s="8" t="str">
        <x:f>IF(E4="","",D4*E4)</x:f>
      </x:c>
      <x:c r="G4" t="str">
        <x:v>To select</x:v>
      </x:c>
      <x:c r="H4" t="str">
        <x:v>High</x:v>
      </x:c>
      <x:c r="I4"/>
      <x:c r="J4"/>
      <x:c r="K4" s="6" t="str">
        <x:v>Overall carrier 12 V-to-5 V power architecture; see DAQ-036 protection entry. Avoid double-counting budget.</x:v>
      </x:c>
    </x:row>
    <x:row r="5" ht="42" customHeight="1">
      <x:c r="A5" t="str">
        <x:v>DAQ-004</x:v>
      </x:c>
      <x:c r="B5" s="6" t="str">
        <x:v>Removable logging media interface</x:v>
      </x:c>
      <x:c r="C5" s="6" t="str">
        <x:v>Microchip USB2244 + PCB-mounted microSD socket</x:v>
      </x:c>
      <x:c r="D5" t="n">
        <x:v>1</x:v>
      </x:c>
      <x:c r="E5" s="8"/>
      <x:c r="F5" s="8" t="str">
        <x:f>IF(E5="","",D5*E5)</x:f>
      </x:c>
      <x:c r="G5" t="str">
        <x:v>Candidate</x:v>
      </x:c>
      <x:c r="H5" t="str">
        <x:v>High</x:v>
      </x:c>
      <x:c r="I5"/>
      <x:c r="J5" t="str">
        <x:v>https://www.microchip.com/en-us/product/usb2244</x:v>
      </x:c>
      <x:c r="K5" s="6" t="str">
        <x:v>USB 2.0 mass-storage controller integrated on carrier; SD socket accessible at enclosure wall. Choose exact card socket, confirm USB host wiring and card detection; USB2244 supports Linux mass-storage drivers.</x:v>
      </x:c>
    </x:row>
    <x:row r="6" ht="42" customHeight="1">
      <x:c r="A6" t="str">
        <x:v>DAQ-005</x:v>
      </x:c>
      <x:c r="B6" s="6" t="str">
        <x:v>Maintenance Ethernet</x:v>
      </x:c>
      <x:c r="C6" s="6" t="str">
        <x:v>A70-112-331N126 — integrated-magnetics RJ45 MagJack (CM4 reference)</x:v>
      </x:c>
      <x:c r="D6" t="n">
        <x:v>1</x:v>
      </x:c>
      <x:c r="E6" s="8"/>
      <x:c r="F6" s="8" t="str">
        <x:f>IF(E6="","",D6*E6)</x:f>
      </x:c>
      <x:c r="G6" t="str">
        <x:v>Reference design candidate</x:v>
      </x:c>
      <x:c r="H6" t="str">
        <x:v>High</x:v>
      </x:c>
      <x:c r="I6"/>
      <x:c r="J6" t="str">
        <x:v>https://datasheets.raspberrypi.com/cm4/cm4-datasheet.pdf</x:v>
      </x:c>
      <x:c r="K6" s="6" t="str">
        <x:v>CM4 datasheet Figure 2 reference MagJack. Integrated magnetics; no separate Ethernet transformer. Verify exact part against official CM4 IO Board KiCad BOM and check stock/footprint before freezing.</x:v>
      </x:c>
    </x:row>
    <x:row r="7" ht="42" customHeight="1">
      <x:c r="A7" t="str">
        <x:v>DAQ-006</x:v>
      </x:c>
      <x:c r="B7" s="6" t="str">
        <x:v>CAN controller/transceiver</x:v>
      </x:c>
      <x:c r="C7" s="6" t="str">
        <x:v>SPI CAN-FD controller + silent CAN transceiver</x:v>
      </x:c>
      <x:c r="D7" t="n">
        <x:v>1</x:v>
      </x:c>
      <x:c r="E7" s="8"/>
      <x:c r="F7" s="8" t="str">
        <x:f>IF(E7="","",D7*E7)</x:f>
      </x:c>
      <x:c r="G7" t="str">
        <x:v>Architecture open</x:v>
      </x:c>
      <x:c r="H7" t="str">
        <x:v>High</x:v>
      </x:c>
      <x:c r="I7"/>
      <x:c r="J7"/>
      <x:c r="K7" s="6" t="str">
        <x:v>CM4 CAN responsibility not yet frozen</x:v>
      </x:c>
    </x:row>
    <x:row r="8" ht="42" customHeight="1">
      <x:c r="A8" t="str">
        <x:v>DAQ-007</x:v>
      </x:c>
      <x:c r="B8" s="6" t="str">
        <x:v>10BASE-T1S MAC-PHY</x:v>
      </x:c>
      <x:c r="C8" s="6" t="str">
        <x:v>Microchip LAN8651 — 10BASE-T1S SPI MAC-PHY</x:v>
      </x:c>
      <x:c r="D8" t="n">
        <x:v>1</x:v>
      </x:c>
      <x:c r="E8" s="8"/>
      <x:c r="F8" s="8" t="str">
        <x:f>IF(E8="","",D8*E8)</x:f>
      </x:c>
      <x:c r="G8" t="str">
        <x:v>Selected</x:v>
      </x:c>
      <x:c r="H8" t="str">
        <x:v>High</x:v>
      </x:c>
      <x:c r="I8"/>
      <x:c r="J8" t="str">
        <x:v>https://ww1.microchip.com/downloads/aemDocuments/documents/NCS/ApplicationNotes/ApplicationNotes/LAN865x-Linux-Driver-Install-Application-Note-00005990.pdf</x:v>
      </x:c>
      <x:c r="K8" s="6" t="str">
        <x:v>1× LAN8651 for shared multidrop bus, 2× external T1S daisy-chain connectors. Mainline Linux lan865x driver (CONFIG_LAN865X; kernel 6.12+). Verify silicon revision, DT/SPI bring-up, PLCA configuration, and hardware timestamp/PTP support.</x:v>
      </x:c>
    </x:row>
    <x:row r="9" ht="56" customHeight="1">
      <x:c r="A9" t="str">
        <x:v>DAQ-043</x:v>
      </x:c>
      <x:c r="B9" s="6" t="str">
        <x:v>Main automotive harness header</x:v>
      </x:c>
      <x:c r="C9" s="6" t="str">
        <x:v>TE Connectivity 8-2384723-5 SUPERSEAL 1.0, 34-way</x:v>
      </x:c>
      <x:c r="D9" t="n">
        <x:v>1</x:v>
      </x:c>
      <x:c r="E9" s="8"/>
      <x:c r="F9" s="8" t="str">
        <x:f>IF(E9="","",D9*E9)</x:f>
      </x:c>
      <x:c r="G9" t="str">
        <x:v>User specified</x:v>
      </x:c>
      <x:c r="H9" t="str">
        <x:v>High</x:v>
      </x:c>
      <x:c r="I9"/>
      <x:c r="J9" t="str">
        <x:v>https://www.te.com/en/product-8-2384723-5.html</x:v>
      </x:c>
      <x:c r="K9" s="6" t="str">
        <x:v>Right-angle, sealed-capable, PCB through-hole, panel-mount. Confirm mating housing, contacts, seals and distributor stock. Do not select passives yet.</x:v>
      </x:c>
    </x:row>
    <x:row r="10" ht="56" customHeight="1">
      <x:c r="A10" t="str">
        <x:v>DAQ-044</x:v>
      </x:c>
      <x:c r="B10" s="6" t="str">
        <x:v>Internal UART debug header</x:v>
      </x:c>
      <x:c r="C10" s="6" t="str">
        <x:v>3-position 2.54 mm pin header (TX/RX/GND), exact PN TBD</x:v>
      </x:c>
      <x:c r="D10" t="n">
        <x:v>1</x:v>
      </x:c>
      <x:c r="G10" t="str">
        <x:v>Architecture selected</x:v>
      </x:c>
      <x:c r="H10" t="str">
        <x:v>Medium</x:v>
      </x:c>
      <x:c r="K10" s="6" t="str">
        <x:v>3.3 V TTL UART console. Three pins required for TX, RX, common ground; NOT RS-232 voltage. Internal service access.</x:v>
      </x:c>
    </x:row>
    <x:row r="11" ht="56" customHeight="1">
      <x:c r="A11" t="str">
        <x:v>DAQ-045</x:v>
      </x:c>
      <x:c r="B11" s="6" t="str">
        <x:v>Logging microSD socket</x:v>
      </x:c>
      <x:c r="C11" s="6" t="str">
        <x:v>PCB-mount microSD push-push / push-pull socket, PN TBD</x:v>
      </x:c>
      <x:c r="D11" t="n">
        <x:v>1</x:v>
      </x:c>
      <x:c r="G11" t="str">
        <x:v>To select</x:v>
      </x:c>
      <x:c r="H11" t="str">
        <x:v>High</x:v>
      </x:c>
      <x:c r="K11" s="6" t="str">
        <x:v>Mate to USB2244; card insertion/removal and sealing geometry to be addressed with enclosure.</x:v>
      </x:c>
    </x:row>
    <x:row r="12" ht="52" customHeight="1">
      <x:c r="A12" t="str">
        <x:v>DAQ-017</x:v>
      </x:c>
      <x:c r="B12" t="str">
        <x:v>GNSS receiver</x:v>
      </x:c>
      <x:c r="C12" t="str">
        <x:v>u-blox ZED-F9P candidate</x:v>
      </x:c>
      <x:c r="D12" t="n">
        <x:v>1</x:v>
      </x:c>
      <x:c r="E12"/>
      <x:c r="F12" t="str">
        <x:f>IF(E12="","",D12*E12)</x:f>
      </x:c>
      <x:c r="G12" t="str">
        <x:v>Candidate</x:v>
      </x:c>
      <x:c r="H12" t="str">
        <x:v>Medium</x:v>
      </x:c>
      <x:c r="I12"/>
      <x:c r="J12"/>
      <x:c r="K12" s="6" t="str">
        <x:v>UART + PPS to CM4; placement TBD</x:v>
      </x:c>
    </x:row>
    <x:row r="13" ht="52" customHeight="1">
      <x:c r="A13" t="str">
        <x:v>DAQ-018</x:v>
      </x:c>
      <x:c r="B13" t="str">
        <x:v>GNSS antenna</x:v>
      </x:c>
      <x:c r="C13" t="str">
        <x:v>u-blox ANN-MB-00 multi-band active GNSS antenna (candidate)</x:v>
      </x:c>
      <x:c r="D13" t="n">
        <x:v>1</x:v>
      </x:c>
      <x:c r="E13"/>
      <x:c r="F13" t="str">
        <x:f>IF(E13="","",D13*E13)</x:f>
      </x:c>
      <x:c r="G13" t="str">
        <x:v>Candidate</x:v>
      </x:c>
      <x:c r="H13" t="str">
        <x:v>High</x:v>
      </x:c>
      <x:c r="I13"/>
      <x:c r="J13" t="str">
        <x:v>https://www.u-blox.com/en/product/ann-mb-series</x:v>
      </x:c>
      <x:c r="K13" s="6" t="str">
        <x:v>External antenna supporting ZED-F9P multi-band reception. Confirm variant, cable termination, active antenna bias and mounting location.</x:v>
      </x:c>
    </x:row>
    <x:row r="14" ht="52" customHeight="1">
      <x:c r="A14" t="str">
        <x:v>DAQ-050</x:v>
      </x:c>
      <x:c r="B14" t="str">
        <x:v>GNSS PCB RF connector</x:v>
      </x:c>
      <x:c r="C14" t="str">
        <x:v>Hirose U.FL-R-SMT-1(10), 50-ohm PCB receptacle</x:v>
      </x:c>
      <x:c r="D14" t="n">
        <x:v>1</x:v>
      </x:c>
      <x:c r="E14"/>
      <x:c r="F14" t="str">
        <x:f>IF(E14="","",D14*E14)</x:f>
      </x:c>
      <x:c r="G14" t="str">
        <x:v>Candidate</x:v>
      </x:c>
      <x:c r="H14" t="str">
        <x:v>High</x:v>
      </x:c>
      <x:c r="I14"/>
      <x:c r="J14" t="str">
        <x:v>https://www.hirose.com/</x:v>
      </x:c>
      <x:c r="K14" s="6" t="str">
        <x:v>On carrier near ZED-F9P RF feed; 50-ohm controlled-impedance trace. Verify exact footprint, RF protection and antenna bias in reference design.</x:v>
      </x:c>
    </x:row>
    <x:row r="15" ht="52" customHeight="1">
      <x:c r="A15" t="str">
        <x:v>DAQ-051</x:v>
      </x:c>
      <x:c r="B15" t="str">
        <x:v>GNSS enclosure coax feedthrough</x:v>
      </x:c>
      <x:c r="C15" t="str">
        <x:v>U.FL-to-SMA female bulkhead pigtail, 50 ohm (exact PN TBD)</x:v>
      </x:c>
      <x:c r="D15" t="n">
        <x:v>1</x:v>
      </x:c>
      <x:c r="E15"/>
      <x:c r="F15" t="str">
        <x:f>IF(E15="","",D15*E15)</x:f>
      </x:c>
      <x:c r="G15" t="str">
        <x:v>Candidate</x:v>
      </x:c>
      <x:c r="H15" t="str">
        <x:v>High</x:v>
      </x:c>
      <x:c r="I15"/>
      <x:c r="J15"/>
      <x:c r="K15" s="6" t="str">
        <x:v>GNSS antenna coax mates at enclosure. Confirm antenna connector gender, cable loss, waterproofing and strain relief.</x:v>
      </x:c>
    </x:row>
    <x:row r="16" ht="52" customHeight="1">
      <x:c r="A16" t="str">
        <x:v>DAQ-036</x:v>
      </x:c>
      <x:c r="B16" t="str">
        <x:v>Vehicle input protection</x:v>
      </x:c>
      <x:c r="C16" t="str">
        <x:v>TVS + LTC4380 concept + MOSFETs</x:v>
      </x:c>
      <x:c r="D16" t="n">
        <x:v>1</x:v>
      </x:c>
      <x:c r="E16"/>
      <x:c r="F16" t="str">
        <x:f>IF(E16="","",D16*E16)</x:f>
      </x:c>
      <x:c r="G16" t="str">
        <x:v>Candidate</x:v>
      </x:c>
      <x:c r="H16" t="str">
        <x:v>High</x:v>
      </x:c>
      <x:c r="I16"/>
      <x:c r="J16"/>
      <x:c r="K16" s="6" t="str">
        <x:v>Validate transients, fuse, reverse polarity</x:v>
      </x:c>
    </x:row>
    <x:row r="17" ht="52" customHeight="1">
      <x:c r="A17" t="str">
        <x:v>DAQ-052</x:v>
      </x:c>
      <x:c r="B17" t="str">
        <x:v>6-axis IMU</x:v>
      </x:c>
      <x:c r="C17" t="str">
        <x:v>Bosch BMI088 (SPI accelerometer + gyroscope)</x:v>
      </x:c>
      <x:c r="D17" t="n">
        <x:v>1</x:v>
      </x:c>
      <x:c r="E17"/>
      <x:c r="F17" t="str">
        <x:f>IF(E17="","",D17*E17)</x:f>
      </x:c>
      <x:c r="G17" t="str">
        <x:v>Candidate</x:v>
      </x:c>
      <x:c r="H17" t="str">
        <x:v>High</x:v>
      </x:c>
      <x:c r="I17" t="str"/>
      <x:c r="J17" t="str"/>
      <x:c r="K17" s="6" t="str">
        <x:v>Onboard CM4 carrier; SPI1 with two chip selects, verify pin mux and placement.</x:v>
      </x:c>
    </x:row>
    <x:row r="18" ht="52" customHeight="1">
      <x:c r="A18" t="str">
        <x:v>DAQ-053</x:v>
      </x:c>
      <x:c r="B18" s="6" t="str">
        <x:v>RJ45 Ethernet ESD protection — U1</x:v>
      </x:c>
      <x:c r="C18" s="6" t="str">
        <x:v>TPD4EUSB30 (CM4 Ethernet reference)</x:v>
      </x:c>
      <x:c r="D18" t="n">
        <x:v>1</x:v>
      </x:c>
      <x:c r="E18"/>
      <x:c r="F18" t="str">
        <x:f>IF(E18="","",D18*E18)</x:f>
      </x:c>
      <x:c r="G18" t="str">
        <x:v>Reference design candidate</x:v>
      </x:c>
      <x:c r="H18" t="str">
        <x:v>High</x:v>
      </x:c>
      <x:c r="I18"/>
      <x:c r="J18" t="str">
        <x:v>https://datasheets.raspberrypi.com/cm4/cm4-datasheet.pdf</x:v>
      </x:c>
      <x:c r="K18" s="6" t="str">
        <x:v>CM4 datasheet Fig. 2: first Ethernet differential-pair ESD device. Verify channel mapping, grounding and layout.</x:v>
      </x:c>
    </x:row>
    <x:row r="19" ht="52" customHeight="1">
      <x:c r="A19" t="str">
        <x:v>DAQ-054</x:v>
      </x:c>
      <x:c r="B19" s="6" t="str">
        <x:v>RJ45 Ethernet ESD protection — U2</x:v>
      </x:c>
      <x:c r="C19" s="6" t="str">
        <x:v>TPD4EUSB30 (CM4 Ethernet reference)</x:v>
      </x:c>
      <x:c r="D19" t="n">
        <x:v>1</x:v>
      </x:c>
      <x:c r="E19"/>
      <x:c r="F19" t="str">
        <x:f>IF(E19="","",D19*E19)</x:f>
      </x:c>
      <x:c r="G19" t="str">
        <x:v>Reference design candidate</x:v>
      </x:c>
      <x:c r="H19" t="str">
        <x:v>High</x:v>
      </x:c>
      <x:c r="I19"/>
      <x:c r="J19" t="str">
        <x:v>https://datasheets.raspberrypi.com/cm4/cm4-datasheet.pdf</x:v>
      </x:c>
      <x:c r="K19" s="6" t="str">
        <x:v>CM4 datasheet Fig. 2: second Ethernet differential-pair ESD device. Automotive transient suitability to review.</x:v>
      </x:c>
    </x:row>
    <x:row r="20" ht="52" customHeight="1">
      <x:c r="A20" t="str">
        <x:v>DAQ-055</x:v>
      </x:c>
      <x:c r="B20" s="6" t="str">
        <x:v>RJ45 Ethernet LED resistor — R2</x:v>
      </x:c>
      <x:c r="C20" s="6" t="str">
        <x:v>470 Ω (CM4 Ethernet reference)</x:v>
      </x:c>
      <x:c r="D20" t="n">
        <x:v>1</x:v>
      </x:c>
      <x:c r="E20"/>
      <x:c r="F20" t="str">
        <x:f>IF(E20="","",D20*E20)</x:f>
      </x:c>
      <x:c r="G20" t="str">
        <x:v>Reference design candidate</x:v>
      </x:c>
      <x:c r="H20" t="str">
        <x:v>Medium</x:v>
      </x:c>
      <x:c r="I20"/>
      <x:c r="J20" t="str">
        <x:v>https://datasheets.raspberrypi.com/cm4/cm4-datasheet.pdf</x:v>
      </x:c>
      <x:c r="K20" s="6" t="str">
        <x:v>CM4 datasheet Fig. 2, ETH_LEDG; value from reference, resistor rating/package TBD.</x:v>
      </x:c>
    </x:row>
    <x:row r="21" ht="52" customHeight="1">
      <x:c r="A21" t="str">
        <x:v>DAQ-056</x:v>
      </x:c>
      <x:c r="B21" s="6" t="str">
        <x:v>RJ45 Ethernet LED resistor — R3</x:v>
      </x:c>
      <x:c r="C21" s="6" t="str">
        <x:v>470 Ω (CM4 Ethernet reference)</x:v>
      </x:c>
      <x:c r="D21" t="n">
        <x:v>1</x:v>
      </x:c>
      <x:c r="E21"/>
      <x:c r="F21" t="str">
        <x:f>IF(E21="","",D21*E21)</x:f>
      </x:c>
      <x:c r="G21" t="str">
        <x:v>Reference design candidate</x:v>
      </x:c>
      <x:c r="H21" t="str">
        <x:v>Medium</x:v>
      </x:c>
      <x:c r="I21"/>
      <x:c r="J21" t="str">
        <x:v>https://datasheets.raspberrypi.com/cm4/cm4-datasheet.pdf</x:v>
      </x:c>
      <x:c r="K21" s="6" t="str">
        <x:v>CM4 datasheet Fig. 2, ETH_LEDY; value from reference, resistor rating/package TBD.</x:v>
      </x:c>
    </x:row>
    <x:row r="22" ht="52" customHeight="1">
      <x:c r="A22" t="str">
        <x:v>DAQ-057</x:v>
      </x:c>
      <x:c r="B22" s="6" t="str">
        <x:v>RJ45 Ethernet bypass capacitor — C1</x:v>
      </x:c>
      <x:c r="C22" s="6" t="str">
        <x:v>100 nF (CM4 Ethernet reference)</x:v>
      </x:c>
      <x:c r="D22" t="n">
        <x:v>1</x:v>
      </x:c>
      <x:c r="E22"/>
      <x:c r="F22" t="str">
        <x:f>IF(E22="","",D22*E22)</x:f>
      </x:c>
      <x:c r="G22" t="str">
        <x:v>Reference design candidate</x:v>
      </x:c>
      <x:c r="H22" t="str">
        <x:v>Medium</x:v>
      </x:c>
      <x:c r="I22"/>
      <x:c r="J22" t="str">
        <x:v>https://datasheets.raspberrypi.com/cm4/cm4-datasheet.pdf</x:v>
      </x:c>
      <x:c r="K22" s="6" t="str">
        <x:v>CM4 datasheet Fig. 2. Exact voltage rating, dielectric, package and connection should be verified in KiCad.</x:v>
      </x:c>
    </x:row>
  </x:sheetData>
  <x:pageMargins left="0.7" right="0.7" top="0.75" bottom="0.75" header="0.3" footer="0.3"/>
  <x:tableParts count="1">
    <x:tablePart xmlns:r="http://schemas.openxmlformats.org/officeDocument/2006/relationships" r:id="Rf2a6d052f11744e6"/>
  </x:tableParts>
</x:worksheet>
</file>

<file path=xl/worksheets/sheet3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3" hidden="0" customWidth="1"/>
    <x:col min="2" max="2" width="31" hidden="0" customWidth="1"/>
    <x:col min="3" max="3" width="43" hidden="0" customWidth="1"/>
    <x:col min="4" max="4" width="10" hidden="0" customWidth="1"/>
    <x:col min="5" max="5" width="19" hidden="0" customWidth="1"/>
    <x:col min="6" max="6" width="22" hidden="0" customWidth="1"/>
    <x:col min="7" max="7" width="23" hidden="0" customWidth="1"/>
    <x:col min="8" max="8" width="13" hidden="0" customWidth="1"/>
    <x:col min="9" max="9" width="18" hidden="0" customWidth="1"/>
    <x:col min="10" max="10" width="29" hidden="0" customWidth="1"/>
    <x:col min="11" max="11" width="70" hidden="0" customWidth="1"/>
  </x:cols>
  <x:sheetData>
    <x:row r="1" ht="32" customHeight="1">
      <x:c r="A1" s="3" t="str">
        <x:v>ID</x:v>
      </x:c>
      <x:c r="B1" s="3" t="str">
        <x:v>Item / Function</x:v>
      </x:c>
      <x:c r="C1" s="3" t="str">
        <x:v>Candidate / Part</x:v>
      </x:c>
      <x:c r="D1" s="3" t="str">
        <x:v>Qty</x:v>
      </x:c>
      <x:c r="E1" s="3" t="str">
        <x:v>Unit Cost (USD)</x:v>
      </x:c>
      <x:c r="F1" s="3" t="str">
        <x:v>Extended Cost (USD)</x:v>
      </x:c>
      <x:c r="G1" s="3" t="str">
        <x:v>Status</x:v>
      </x:c>
      <x:c r="H1" s="3" t="str">
        <x:v>Priority</x:v>
      </x:c>
      <x:c r="I1" s="3" t="str">
        <x:v>Owner</x:v>
      </x:c>
      <x:c r="J1" s="3" t="str">
        <x:v>Vendor / Link</x:v>
      </x:c>
      <x:c r="K1" s="3" t="str">
        <x:v>Notes / Decision Needed</x:v>
      </x:c>
    </x:row>
    <x:row r="2" ht="42" customHeight="1">
      <x:c r="A2" t="str">
        <x:v>DAQ-009</x:v>
      </x:c>
      <x:c r="B2" s="6" t="str">
        <x:v>Microcontroller</x:v>
      </x:c>
      <x:c r="C2" s="6" t="str">
        <x:v>NXP MCX N947</x:v>
      </x:c>
      <x:c r="D2" t="n">
        <x:v>1</x:v>
      </x:c>
      <x:c r="E2" s="8"/>
      <x:c r="F2" s="8" t="str">
        <x:f>IF(E2="","",D2*E2)</x:f>
      </x:c>
      <x:c r="G2" t="str">
        <x:v>Planned</x:v>
      </x:c>
      <x:c r="H2" t="str">
        <x:v>High</x:v>
      </x:c>
      <x:c r="I2"/>
      <x:c r="J2"/>
      <x:c r="K2" s="6" t="str">
        <x:v>Common acquisition node design</x:v>
      </x:c>
    </x:row>
    <x:row r="3" ht="42" customHeight="1">
      <x:c r="A3" t="str">
        <x:v>DAQ-010</x:v>
      </x:c>
      <x:c r="B3" s="6" t="str">
        <x:v>10BASE-T1S interface</x:v>
      </x:c>
      <x:c r="C3" s="6" t="str">
        <x:v>PHY / MAC-PHY selection</x:v>
      </x:c>
      <x:c r="D3" t="n">
        <x:v>1</x:v>
      </x:c>
      <x:c r="E3" s="8"/>
      <x:c r="F3" s="8" t="str">
        <x:f>IF(E3="","",D3*E3)</x:f>
      </x:c>
      <x:c r="G3" t="str">
        <x:v>Architecture open</x:v>
      </x:c>
      <x:c r="H3" t="str">
        <x:v>High</x:v>
      </x:c>
      <x:c r="I3"/>
      <x:c r="J3"/>
      <x:c r="K3" s="6" t="str">
        <x:v>LAN8670 vs LAN865x depends on MCU interface</x:v>
      </x:c>
    </x:row>
    <x:row r="4" ht="42" customHeight="1">
      <x:c r="A4" t="str">
        <x:v>DAQ-011</x:v>
      </x:c>
      <x:c r="B4" s="6" t="str">
        <x:v>Sampling + analog front end</x:v>
      </x:c>
      <x:c r="C4" s="6" t="str">
        <x:v>ADC conditioning, references, protection</x:v>
      </x:c>
      <x:c r="D4" t="n">
        <x:v>1</x:v>
      </x:c>
      <x:c r="E4" s="8"/>
      <x:c r="F4" s="8" t="str">
        <x:f>IF(E4="","",D4*E4)</x:f>
      </x:c>
      <x:c r="G4" t="str">
        <x:v>To select</x:v>
      </x:c>
      <x:c r="H4" t="str">
        <x:v>High</x:v>
      </x:c>
      <x:c r="I4"/>
      <x:c r="J4"/>
      <x:c r="K4" s="6" t="str">
        <x:v>100 Hz hardware-timed sampling</x:v>
      </x:c>
    </x:row>
    <x:row r="5" ht="42" customHeight="1">
      <x:c r="A5" t="str">
        <x:v>DAQ-012</x:v>
      </x:c>
      <x:c r="B5" s="6" t="str">
        <x:v>Rolling buffer memory</x:v>
      </x:c>
      <x:c r="C5" s="6" t="str">
        <x:v>30-second recovery buffer</x:v>
      </x:c>
      <x:c r="D5" t="n">
        <x:v>1</x:v>
      </x:c>
      <x:c r="E5" s="8"/>
      <x:c r="F5" s="8" t="str">
        <x:f>IF(E5="","",D5*E5)</x:f>
      </x:c>
      <x:c r="G5" t="str">
        <x:v>Architecture open</x:v>
      </x:c>
      <x:c r="H5" t="str">
        <x:v>High</x:v>
      </x:c>
      <x:c r="I5"/>
      <x:c r="J5"/>
      <x:c r="K5" s="6" t="str">
        <x:v>FRAM vs flash unresolved</x:v>
      </x:c>
    </x:row>
    <x:row r="6" ht="58" customHeight="1">
      <x:c r="A6" t="str">
        <x:v>DAQ-046</x:v>
      </x:c>
      <x:c r="B6" s="6" t="str">
        <x:v>10BASE-T1S sealed PCB connector</x:v>
      </x:c>
      <x:c r="C6" s="6" t="str">
        <x:v>TE MATEnet 2415723-1, A-coded 2-position</x:v>
      </x:c>
      <x:c r="D6" t="n">
        <x:v>1</x:v>
      </x:c>
      <x:c r="G6" t="str">
        <x:v>Candidate</x:v>
      </x:c>
      <x:c r="H6" t="str">
        <x:v>High</x:v>
      </x:c>
      <x:c r="J6" t="str">
        <x:v>https://www.te.com/en/product-2415723-1.html</x:v>
      </x:c>
      <x:c r="K6" s="6" t="str">
        <x:v>Shielded, sealed right-angle PCB header. Confirm mating plug, crimp contacts, wire impedance, availability and termination topology.</x:v>
      </x:c>
    </x:row>
  </x:sheetData>
  <x:pageMargins left="0.7" right="0.7" top="0.75" bottom="0.75" header="0.3" footer="0.3"/>
  <x:tableParts count="1">
    <x:tablePart xmlns:r="http://schemas.openxmlformats.org/officeDocument/2006/relationships" r:id="Rad487f686d6140c3"/>
  </x:tableParts>
</x:worksheet>
</file>

<file path=xl/worksheets/sheet4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3" hidden="0" customWidth="1"/>
    <x:col min="2" max="2" width="31" hidden="0" customWidth="1"/>
    <x:col min="3" max="3" width="43" hidden="0" customWidth="1"/>
    <x:col min="4" max="4" width="10" hidden="0" customWidth="1"/>
    <x:col min="5" max="5" width="19" hidden="0" customWidth="1"/>
    <x:col min="6" max="6" width="22" hidden="0" customWidth="1"/>
    <x:col min="7" max="7" width="23" hidden="0" customWidth="1"/>
    <x:col min="8" max="8" width="13" hidden="0" customWidth="1"/>
    <x:col min="9" max="9" width="18" hidden="0" customWidth="1"/>
    <x:col min="10" max="10" width="29" hidden="0" customWidth="1"/>
    <x:col min="11" max="11" width="70" hidden="0" customWidth="1"/>
  </x:cols>
  <x:sheetData>
    <x:row r="1" ht="32" customHeight="1">
      <x:c r="A1" s="3" t="str">
        <x:v>ID</x:v>
      </x:c>
      <x:c r="B1" s="3" t="str">
        <x:v>Item / Function</x:v>
      </x:c>
      <x:c r="C1" s="3" t="str">
        <x:v>Candidate / Part</x:v>
      </x:c>
      <x:c r="D1" s="3" t="str">
        <x:v>Qty</x:v>
      </x:c>
      <x:c r="E1" s="3" t="str">
        <x:v>Unit Cost (USD)</x:v>
      </x:c>
      <x:c r="F1" s="3" t="str">
        <x:v>Extended Cost (USD)</x:v>
      </x:c>
      <x:c r="G1" s="3" t="str">
        <x:v>Status</x:v>
      </x:c>
      <x:c r="H1" s="3" t="str">
        <x:v>Priority</x:v>
      </x:c>
      <x:c r="I1" s="3" t="str">
        <x:v>Owner</x:v>
      </x:c>
      <x:c r="J1" s="3" t="str">
        <x:v>Vendor / Link</x:v>
      </x:c>
      <x:c r="K1" s="3" t="str">
        <x:v>Notes / Decision Needed</x:v>
      </x:c>
    </x:row>
    <x:row r="2" ht="42" customHeight="1">
      <x:c r="A2" t="str">
        <x:v>DAQ-013</x:v>
      </x:c>
      <x:c r="B2" s="6" t="str">
        <x:v>Microcontroller</x:v>
      </x:c>
      <x:c r="C2" s="6" t="str">
        <x:v>NXP MCX N947</x:v>
      </x:c>
      <x:c r="D2" t="n">
        <x:v>1</x:v>
      </x:c>
      <x:c r="E2" s="8"/>
      <x:c r="F2" s="8" t="str">
        <x:f>IF(E2="","",D2*E2)</x:f>
      </x:c>
      <x:c r="G2" t="str">
        <x:v>Planned</x:v>
      </x:c>
      <x:c r="H2" t="str">
        <x:v>High</x:v>
      </x:c>
      <x:c r="I2"/>
      <x:c r="J2"/>
      <x:c r="K2" s="6" t="str">
        <x:v>Same PCB as front node, configured differently</x:v>
      </x:c>
    </x:row>
    <x:row r="3" ht="42" customHeight="1">
      <x:c r="A3" t="str">
        <x:v>DAQ-014</x:v>
      </x:c>
      <x:c r="B3" s="6" t="str">
        <x:v>10BASE-T1S interface</x:v>
      </x:c>
      <x:c r="C3" s="6" t="str">
        <x:v>PHY / MAC-PHY selection</x:v>
      </x:c>
      <x:c r="D3" t="n">
        <x:v>1</x:v>
      </x:c>
      <x:c r="E3" s="8"/>
      <x:c r="F3" s="8" t="str">
        <x:f>IF(E3="","",D3*E3)</x:f>
      </x:c>
      <x:c r="G3" t="str">
        <x:v>Architecture open</x:v>
      </x:c>
      <x:c r="H3" t="str">
        <x:v>High</x:v>
      </x:c>
      <x:c r="I3"/>
      <x:c r="J3"/>
      <x:c r="K3" s="6" t="str">
        <x:v>Reuse front-node design</x:v>
      </x:c>
    </x:row>
    <x:row r="4" ht="42" customHeight="1">
      <x:c r="A4" t="str">
        <x:v>DAQ-015</x:v>
      </x:c>
      <x:c r="B4" s="6" t="str">
        <x:v>Sampling + analog front end</x:v>
      </x:c>
      <x:c r="C4" s="6" t="str">
        <x:v>ADC conditioning, references, protection</x:v>
      </x:c>
      <x:c r="D4" t="n">
        <x:v>1</x:v>
      </x:c>
      <x:c r="E4" s="8"/>
      <x:c r="F4" s="8" t="str">
        <x:f>IF(E4="","",D4*E4)</x:f>
      </x:c>
      <x:c r="G4" t="str">
        <x:v>To select</x:v>
      </x:c>
      <x:c r="H4" t="str">
        <x:v>High</x:v>
      </x:c>
      <x:c r="I4"/>
      <x:c r="J4"/>
      <x:c r="K4" s="6" t="str">
        <x:v>Reuse front-node design</x:v>
      </x:c>
    </x:row>
    <x:row r="5" ht="42" customHeight="1">
      <x:c r="A5" t="str">
        <x:v>DAQ-016</x:v>
      </x:c>
      <x:c r="B5" s="6" t="str">
        <x:v>Rolling buffer memory</x:v>
      </x:c>
      <x:c r="C5" s="6" t="str">
        <x:v>30-second recovery buffer</x:v>
      </x:c>
      <x:c r="D5" t="n">
        <x:v>1</x:v>
      </x:c>
      <x:c r="E5" s="8"/>
      <x:c r="F5" s="8" t="str">
        <x:f>IF(E5="","",D5*E5)</x:f>
      </x:c>
      <x:c r="G5" t="str">
        <x:v>Architecture open</x:v>
      </x:c>
      <x:c r="H5" t="str">
        <x:v>High</x:v>
      </x:c>
      <x:c r="I5"/>
      <x:c r="J5"/>
      <x:c r="K5" s="6" t="str">
        <x:v>Reuse front-node design</x:v>
      </x:c>
    </x:row>
    <x:row r="6" ht="58" customHeight="1">
      <x:c r="A6" t="str">
        <x:v>DAQ-047</x:v>
      </x:c>
      <x:c r="B6" s="6" t="str">
        <x:v>10BASE-T1S sealed PCB connector</x:v>
      </x:c>
      <x:c r="C6" s="6" t="str">
        <x:v>TE MATEnet 2415723-1, A-coded 2-position</x:v>
      </x:c>
      <x:c r="D6" t="n">
        <x:v>1</x:v>
      </x:c>
      <x:c r="G6" t="str">
        <x:v>Candidate</x:v>
      </x:c>
      <x:c r="H6" t="str">
        <x:v>High</x:v>
      </x:c>
      <x:c r="J6" t="str">
        <x:v>https://www.te.com/en/product-2415723-1.html</x:v>
      </x:c>
      <x:c r="K6" s="6" t="str">
        <x:v>Shielded, sealed right-angle PCB header. Confirm mating plug, crimp contacts, wire impedance, availability and termination topology.</x:v>
      </x:c>
    </x:row>
  </x:sheetData>
  <x:pageMargins left="0.7" right="0.7" top="0.75" bottom="0.75" header="0.3" footer="0.3"/>
  <x:tableParts count="1">
    <x:tablePart xmlns:r="http://schemas.openxmlformats.org/officeDocument/2006/relationships" r:id="R540f8a587fc54e32"/>
  </x:tableParts>
</x:worksheet>
</file>

<file path=xl/worksheets/sheet5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3" hidden="0" customWidth="1"/>
    <x:col min="2" max="2" width="31" hidden="0" customWidth="1"/>
    <x:col min="3" max="3" width="43" hidden="0" customWidth="1"/>
    <x:col min="4" max="4" width="10" hidden="0" customWidth="1"/>
    <x:col min="5" max="5" width="19" hidden="0" customWidth="1"/>
    <x:col min="6" max="6" width="22" hidden="0" customWidth="1"/>
    <x:col min="7" max="7" width="23" hidden="0" customWidth="1"/>
    <x:col min="8" max="8" width="13" hidden="0" customWidth="1"/>
    <x:col min="9" max="9" width="18" hidden="0" customWidth="1"/>
    <x:col min="10" max="10" width="29" hidden="0" customWidth="1"/>
    <x:col min="11" max="11" width="70" hidden="0" customWidth="1"/>
  </x:cols>
  <x:sheetData>
    <x:row r="1" ht="32" customHeight="1">
      <x:c r="A1" s="3" t="str">
        <x:v>ID</x:v>
      </x:c>
      <x:c r="B1" s="3" t="str">
        <x:v>Item / Function</x:v>
      </x:c>
      <x:c r="C1" s="3" t="str">
        <x:v>Candidate / Part</x:v>
      </x:c>
      <x:c r="D1" s="3" t="str">
        <x:v>Qty</x:v>
      </x:c>
      <x:c r="E1" s="3" t="str">
        <x:v>Unit Cost (USD)</x:v>
      </x:c>
      <x:c r="F1" s="3" t="str">
        <x:v>Extended Cost (USD)</x:v>
      </x:c>
      <x:c r="G1" s="3" t="str">
        <x:v>Status</x:v>
      </x:c>
      <x:c r="H1" s="3" t="str">
        <x:v>Priority</x:v>
      </x:c>
      <x:c r="I1" s="3" t="str">
        <x:v>Owner</x:v>
      </x:c>
      <x:c r="J1" s="3" t="str">
        <x:v>Vendor / Link</x:v>
      </x:c>
      <x:c r="K1" s="3" t="str">
        <x:v>Notes / Decision Needed</x:v>
      </x:c>
    </x:row>
    <x:row r="2" ht="42" customHeight="1">
      <x:c r="A2" t="str">
        <x:v>DAQ-020</x:v>
      </x:c>
      <x:c r="B2" s="6" t="str">
        <x:v>Vehicle sensor inventory</x:v>
      </x:c>
      <x:c r="C2" s="6" t="str">
        <x:v>Channel-level sensor BOM</x:v>
      </x:c>
      <x:c r="D2" t="n">
        <x:v>1</x:v>
      </x:c>
      <x:c r="E2" s="8"/>
      <x:c r="F2" s="8" t="str">
        <x:f>IF(E2="","",D2*E2)</x:f>
      </x:c>
      <x:c r="G2" t="str">
        <x:v>To inventory</x:v>
      </x:c>
      <x:c r="H2" t="str">
        <x:v>High</x:v>
      </x:c>
      <x:c r="I2"/>
      <x:c r="J2"/>
      <x:c r="K2" s="6" t="str">
        <x:v>Populate from actual front/rear channel allocation</x:v>
      </x:c>
    </x:row>
  </x:sheetData>
  <x:pageMargins left="0.7" right="0.7" top="0.75" bottom="0.75" header="0.3" footer="0.3"/>
  <x:tableParts count="1">
    <x:tablePart xmlns:r="http://schemas.openxmlformats.org/officeDocument/2006/relationships" r:id="Rdc5a74c23fde4246"/>
  </x:tableParts>
</x:worksheet>
</file>

<file path=xl/worksheets/sheet6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3" hidden="0" customWidth="1"/>
    <x:col min="2" max="2" width="31" hidden="0" customWidth="1"/>
    <x:col min="3" max="3" width="43" hidden="0" customWidth="1"/>
    <x:col min="4" max="4" width="10" hidden="0" customWidth="1"/>
    <x:col min="5" max="5" width="19" hidden="0" customWidth="1"/>
    <x:col min="6" max="6" width="22" hidden="0" customWidth="1"/>
    <x:col min="7" max="7" width="23" hidden="0" customWidth="1"/>
    <x:col min="8" max="8" width="13" hidden="0" customWidth="1"/>
    <x:col min="9" max="9" width="18" hidden="0" customWidth="1"/>
    <x:col min="10" max="10" width="29" hidden="0" customWidth="1"/>
    <x:col min="11" max="11" width="70" hidden="0" customWidth="1"/>
  </x:cols>
  <x:sheetData>
    <x:row r="1" ht="32" customHeight="1">
      <x:c r="A1" s="3" t="str">
        <x:v>ID</x:v>
      </x:c>
      <x:c r="B1" s="3" t="str">
        <x:v>Item / Function</x:v>
      </x:c>
      <x:c r="C1" s="3" t="str">
        <x:v>Candidate / Part</x:v>
      </x:c>
      <x:c r="D1" s="3" t="str">
        <x:v>Qty</x:v>
      </x:c>
      <x:c r="E1" s="3" t="str">
        <x:v>Unit Cost (USD)</x:v>
      </x:c>
      <x:c r="F1" s="3" t="str">
        <x:v>Extended Cost (USD)</x:v>
      </x:c>
      <x:c r="G1" s="3" t="str">
        <x:v>Status</x:v>
      </x:c>
      <x:c r="H1" s="3" t="str">
        <x:v>Priority</x:v>
      </x:c>
      <x:c r="I1" s="3" t="str">
        <x:v>Owner</x:v>
      </x:c>
      <x:c r="J1" s="3" t="str">
        <x:v>Vendor / Link</x:v>
      </x:c>
      <x:c r="K1" s="3" t="str">
        <x:v>Notes / Decision Needed</x:v>
      </x:c>
    </x:row>
    <x:row r="2" ht="42" customHeight="1">
      <x:c r="A2" t="str">
        <x:v>DAQ-021</x:v>
      </x:c>
      <x:c r="B2" s="6" t="str">
        <x:v>T1S cable &amp; connectors</x:v>
      </x:c>
      <x:c r="C2" s="6" t="str">
        <x:v>Shielded / suitable controlled-impedance wiring</x:v>
      </x:c>
      <x:c r="D2" t="n">
        <x:v>1</x:v>
      </x:c>
      <x:c r="E2" s="8"/>
      <x:c r="F2" s="8" t="str">
        <x:f>IF(E2="","",D2*E2)</x:f>
      </x:c>
      <x:c r="G2" t="str">
        <x:v>To select</x:v>
      </x:c>
      <x:c r="H2" t="str">
        <x:v>High</x:v>
      </x:c>
      <x:c r="I2"/>
      <x:c r="J2"/>
      <x:c r="K2" s="6" t="str">
        <x:v>CM4 in middle; termination at bus ends</x:v>
      </x:c>
    </x:row>
    <x:row r="3" ht="42" customHeight="1">
      <x:c r="A3" t="str">
        <x:v>DAQ-022</x:v>
      </x:c>
      <x:c r="B3" s="6" t="str">
        <x:v>Sensor harnesses</x:v>
      </x:c>
      <x:c r="C3" s="6" t="str">
        <x:v>Wire, contacts, seals, backshells</x:v>
      </x:c>
      <x:c r="D3" t="n">
        <x:v>1</x:v>
      </x:c>
      <x:c r="E3" s="8"/>
      <x:c r="F3" s="8" t="str">
        <x:f>IF(E3="","",D3*E3)</x:f>
      </x:c>
      <x:c r="G3" t="str">
        <x:v>To inventory</x:v>
      </x:c>
      <x:c r="H3" t="str">
        <x:v>High</x:v>
      </x:c>
      <x:c r="I3"/>
      <x:c r="J3"/>
      <x:c r="K3" s="6" t="str">
        <x:v>Quantities depend on sensor map</x:v>
      </x:c>
    </x:row>
    <x:row r="4" ht="42" customHeight="1">
      <x:c r="A4" t="str">
        <x:v>DAQ-023</x:v>
      </x:c>
      <x:c r="B4" s="6" t="str">
        <x:v>RF cable assembly</x:v>
      </x:c>
      <x:c r="C4" s="6" t="str">
        <x:v>50-ohm low-loss coax, &gt;4 ft run</x:v>
      </x:c>
      <x:c r="D4" t="n">
        <x:v>1</x:v>
      </x:c>
      <x:c r="E4" s="8"/>
      <x:c r="F4" s="8" t="str">
        <x:f>IF(E4="","",D4*E4)</x:f>
      </x:c>
      <x:c r="G4" t="str">
        <x:v>Candidate</x:v>
      </x:c>
      <x:c r="H4" t="str">
        <x:v>High</x:v>
      </x:c>
      <x:c r="I4"/>
      <x:c r="J4"/>
      <x:c r="K4" s="6" t="str">
        <x:v>LMR-240 class; verify connectors, flex and routing</x:v>
      </x:c>
    </x:row>
  </x:sheetData>
  <x:pageMargins left="0.7" right="0.7" top="0.75" bottom="0.75" header="0.3" footer="0.3"/>
  <x:tableParts count="1">
    <x:tablePart xmlns:r="http://schemas.openxmlformats.org/officeDocument/2006/relationships" r:id="Rdb939c3daf784341"/>
  </x:tableParts>
</x:worksheet>
</file>

<file path=xl/worksheets/sheet7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3" hidden="0" customWidth="1"/>
    <x:col min="2" max="2" width="31" hidden="0" customWidth="1"/>
    <x:col min="3" max="3" width="43" hidden="0" customWidth="1"/>
    <x:col min="4" max="4" width="10" hidden="0" customWidth="1"/>
    <x:col min="5" max="5" width="19" hidden="0" customWidth="1"/>
    <x:col min="6" max="6" width="22" hidden="0" customWidth="1"/>
    <x:col min="7" max="7" width="23" hidden="0" customWidth="1"/>
    <x:col min="8" max="8" width="13" hidden="0" customWidth="1"/>
    <x:col min="9" max="9" width="18" hidden="0" customWidth="1"/>
    <x:col min="10" max="10" width="29" hidden="0" customWidth="1"/>
    <x:col min="11" max="11" width="70" hidden="0" customWidth="1"/>
  </x:cols>
  <x:sheetData>
    <x:row r="1" ht="32" customHeight="1">
      <x:c r="A1" s="3" t="str">
        <x:v>ID</x:v>
      </x:c>
      <x:c r="B1" s="3" t="str">
        <x:v>Item / Function</x:v>
      </x:c>
      <x:c r="C1" s="3" t="str">
        <x:v>Candidate / Part</x:v>
      </x:c>
      <x:c r="D1" s="3" t="str">
        <x:v>Qty</x:v>
      </x:c>
      <x:c r="E1" s="3" t="str">
        <x:v>Unit Cost (USD)</x:v>
      </x:c>
      <x:c r="F1" s="3" t="str">
        <x:v>Extended Cost (USD)</x:v>
      </x:c>
      <x:c r="G1" s="3" t="str">
        <x:v>Status</x:v>
      </x:c>
      <x:c r="H1" s="3" t="str">
        <x:v>Priority</x:v>
      </x:c>
      <x:c r="I1" s="3" t="str">
        <x:v>Owner</x:v>
      </x:c>
      <x:c r="J1" s="3" t="str">
        <x:v>Vendor / Link</x:v>
      </x:c>
      <x:c r="K1" s="3" t="str">
        <x:v>Notes / Decision Needed</x:v>
      </x:c>
    </x:row>
    <x:row r="2" ht="42" customHeight="1">
      <x:c r="A2" t="str">
        <x:v>DAQ-024</x:v>
      </x:c>
      <x:c r="B2" s="6" t="str">
        <x:v>WiFi radio</x:v>
      </x:c>
      <x:c r="C2" s="6" t="str">
        <x:v>Included in wireless CM4</x:v>
      </x:c>
      <x:c r="D2" t="n">
        <x:v>1</x:v>
      </x:c>
      <x:c r="E2" s="8"/>
      <x:c r="F2" s="8" t="str">
        <x:f>IF(E2="","",D2*E2)</x:f>
      </x:c>
      <x:c r="G2" t="str">
        <x:v>Planned</x:v>
      </x:c>
      <x:c r="H2" t="str">
        <x:v>High</x:v>
      </x:c>
      <x:c r="I2"/>
      <x:c r="J2"/>
      <x:c r="K2" s="6" t="str">
        <x:v>No extra radio PCB</x:v>
      </x:c>
    </x:row>
    <x:row r="3" ht="42" customHeight="1">
      <x:c r="A3" t="str">
        <x:v>DAQ-025</x:v>
      </x:c>
      <x:c r="B3" s="6" t="str">
        <x:v>WiFi antenna option A</x:v>
      </x:c>
      <x:c r="C3" s="6" t="str">
        <x:v>Poynting PUCK-12-V2</x:v>
      </x:c>
      <x:c r="D3" t="n">
        <x:v>1</x:v>
      </x:c>
      <x:c r="E3" s="8"/>
      <x:c r="F3" s="8" t="str">
        <x:f>IF(E3="","",D3*E3)</x:f>
      </x:c>
      <x:c r="G3" t="str">
        <x:v>Candidate</x:v>
      </x:c>
      <x:c r="H3" t="str">
        <x:v>Medium</x:v>
      </x:c>
      <x:c r="I3"/>
      <x:c r="J3"/>
      <x:c r="K3" s="6" t="str">
        <x:v>Weatherproof, body-mounted; verify port/cable/compliance</x:v>
      </x:c>
    </x:row>
    <x:row r="4" ht="42" customHeight="1">
      <x:c r="A4" t="str">
        <x:v>DAQ-026</x:v>
      </x:c>
      <x:c r="B4" s="6" t="str">
        <x:v>WiFi antenna option B</x:v>
      </x:c>
      <x:c r="C4" s="6" t="str">
        <x:v>Poynting PUCK-3-V2</x:v>
      </x:c>
      <x:c r="D4" t="n">
        <x:v>1</x:v>
      </x:c>
      <x:c r="E4" s="8"/>
      <x:c r="F4" s="8" t="str">
        <x:f>IF(E4="","",D4*E4)</x:f>
      </x:c>
      <x:c r="G4" t="str">
        <x:v>Alternative</x:v>
      </x:c>
      <x:c r="H4" t="str">
        <x:v>Medium</x:v>
      </x:c>
      <x:c r="I4"/>
      <x:c r="J4"/>
      <x:c r="K4" s="6" t="str">
        <x:v>Potential combined GNSS/WiFi housing; verify exact configuration</x:v>
      </x:c>
    </x:row>
    <x:row r="5" ht="42" customHeight="1">
      <x:c r="A5" t="str">
        <x:v>DAQ-027</x:v>
      </x:c>
      <x:c r="B5" s="6" t="str">
        <x:v>RF enclosure bulkhead</x:v>
      </x:c>
      <x:c r="C5" s="6" t="str">
        <x:v>CM4 onboard U.FL → SMA female bulkhead pigtail (50 ohm)</x:v>
      </x:c>
      <x:c r="D5" t="n">
        <x:v>1</x:v>
      </x:c>
      <x:c r="E5" s="8"/>
      <x:c r="F5" s="8" t="str">
        <x:f>IF(E5="","",D5*E5)</x:f>
      </x:c>
      <x:c r="G5" t="str">
        <x:v>Candidate</x:v>
      </x:c>
      <x:c r="H5" t="str">
        <x:v>High</x:v>
      </x:c>
      <x:c r="I5"/>
      <x:c r="J5"/>
      <x:c r="K5" s="6" t="str">
        <x:v>Wi-Fi RF connector is on wireless CM4 module, not on carrier PCB. Do not add a redundant PCB RF header. Verify U.FL mate, cable length, enclosure seal and antenna compatibility.</x:v>
      </x:c>
    </x:row>
    <x:row r="6" ht="65" customHeight="1">
      <x:c r="A6" t="str">
        <x:v>DAQ-052</x:v>
      </x:c>
      <x:c r="B6" s="6" t="str">
        <x:v>Wi-Fi CM4 RF mating connector</x:v>
      </x:c>
      <x:c r="C6" s="6" t="str">
        <x:v>U.FL-compatible plug on coax pigtail (CM4 module antenna jack)</x:v>
      </x:c>
      <x:c r="D6" t="n">
        <x:v>1</x:v>
      </x:c>
      <x:c r="G6" t="str">
        <x:v>Candidate</x:v>
      </x:c>
      <x:c r="H6" t="str">
        <x:v>High</x:v>
      </x:c>
      <x:c r="K6" s="6" t="str">
        <x:v>Included with suitable U.FL-to-SMA pigtail; not a separate carrier PCB-mounted connector. Verify CM4 antenna selection/configuration.</x:v>
      </x:c>
    </x:row>
    <x:row r="7" ht="65" customHeight="1">
      <x:c r="A7" t="str">
        <x:v>DAQ-053</x:v>
      </x:c>
      <x:c r="B7" s="6" t="str">
        <x:v>Wi-Fi external antenna</x:v>
      </x:c>
      <x:c r="C7" s="6" t="str">
        <x:v>Poynting PUCK-12-V2 (existing candidate; exact RF SKU to verify)</x:v>
      </x:c>
      <x:c r="D7" t="n">
        <x:v>1</x:v>
      </x:c>
      <x:c r="G7" t="str">
        <x:v>Candidate</x:v>
      </x:c>
      <x:c r="H7" t="str">
        <x:v>High</x:v>
      </x:c>
      <x:c r="J7" t="str">
        <x:v>https://poynting.tech/</x:v>
      </x:c>
      <x:c r="K7" s="6" t="str">
        <x:v>External vehicle antenna; verify 2.4 GHz Wi-Fi support, port/connector, antenna cable length, loss and regulatory compliance. Alternatives remain in rows 3-4.</x:v>
      </x:c>
    </x:row>
    <x:row r="9" ht="58" customHeight="1">
      <x:c r="A9" t="str">
        <x:v>DAQ-048</x:v>
      </x:c>
      <x:c r="B9" s="6" t="str">
        <x:v>CM4 10BASE-T1S connectors</x:v>
      </x:c>
      <x:c r="C9" s="6" t="str">
        <x:v>TE MATEnet 2415723-1, A-coded 2-position</x:v>
      </x:c>
      <x:c r="D9" t="n">
        <x:v>2</x:v>
      </x:c>
      <x:c r="G9" t="str">
        <x:v>Candidate</x:v>
      </x:c>
      <x:c r="H9" t="str">
        <x:v>High</x:v>
      </x:c>
      <x:c r="J9" t="str">
        <x:v>https://www.te.com/en/product-2415723-1.html</x:v>
      </x:c>
      <x:c r="K9" s="6" t="str">
        <x:v>Two PCB headers for front/rear cables; same shared T1S multidrop bus, no center-node end termination. Verify mating harness ecosystem.</x:v>
      </x:c>
    </x:row>
  </x:sheetData>
  <x:pageMargins left="0.7" right="0.7" top="0.75" bottom="0.75" header="0.3" footer="0.3"/>
  <x:tableParts count="1">
    <x:tablePart xmlns:r="http://schemas.openxmlformats.org/officeDocument/2006/relationships" r:id="R5e46ff31f9fd4ba1"/>
  </x:tableParts>
</x:worksheet>
</file>

<file path=xl/worksheets/sheet8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3" hidden="0" customWidth="1"/>
    <x:col min="2" max="2" width="31" hidden="0" customWidth="1"/>
    <x:col min="3" max="3" width="43" hidden="0" customWidth="1"/>
    <x:col min="4" max="4" width="10" hidden="0" customWidth="1"/>
    <x:col min="5" max="5" width="19" hidden="0" customWidth="1"/>
    <x:col min="6" max="6" width="22" hidden="0" customWidth="1"/>
    <x:col min="7" max="7" width="23" hidden="0" customWidth="1"/>
    <x:col min="8" max="8" width="13" hidden="0" customWidth="1"/>
    <x:col min="9" max="9" width="18" hidden="0" customWidth="1"/>
    <x:col min="10" max="10" width="29" hidden="0" customWidth="1"/>
    <x:col min="11" max="11" width="70" hidden="0" customWidth="1"/>
  </x:cols>
  <x:sheetData>
    <x:row r="1" ht="32" customHeight="1">
      <x:c r="A1" s="3" t="str">
        <x:v>ID</x:v>
      </x:c>
      <x:c r="B1" s="3" t="str">
        <x:v>Item / Function</x:v>
      </x:c>
      <x:c r="C1" s="3" t="str">
        <x:v>Candidate / Part</x:v>
      </x:c>
      <x:c r="D1" s="3" t="str">
        <x:v>Qty</x:v>
      </x:c>
      <x:c r="E1" s="3" t="str">
        <x:v>Unit Cost (USD)</x:v>
      </x:c>
      <x:c r="F1" s="3" t="str">
        <x:v>Extended Cost (USD)</x:v>
      </x:c>
      <x:c r="G1" s="3" t="str">
        <x:v>Status</x:v>
      </x:c>
      <x:c r="H1" s="3" t="str">
        <x:v>Priority</x:v>
      </x:c>
      <x:c r="I1" s="3" t="str">
        <x:v>Owner</x:v>
      </x:c>
      <x:c r="J1" s="3" t="str">
        <x:v>Vendor / Link</x:v>
      </x:c>
      <x:c r="K1" s="3" t="str">
        <x:v>Notes / Decision Needed</x:v>
      </x:c>
    </x:row>
    <x:row r="2" ht="42" customHeight="1">
      <x:c r="A2" t="str">
        <x:v>DAQ-028</x:v>
      </x:c>
      <x:c r="B2" s="6" t="str">
        <x:v>Outdoor WiFi AP option A</x:v>
      </x:c>
      <x:c r="C2" s="6" t="str">
        <x:v>MikroTik mANTBox 2 12s</x:v>
      </x:c>
      <x:c r="D2" t="n">
        <x:v>1</x:v>
      </x:c>
      <x:c r="E2" s="8"/>
      <x:c r="F2" s="8" t="str">
        <x:f>IF(E2="","",D2*E2)</x:f>
      </x:c>
      <x:c r="G2" t="str">
        <x:v>Preferred candidate</x:v>
      </x:c>
      <x:c r="H2" t="str">
        <x:v>High</x:v>
      </x:c>
      <x:c r="I2"/>
      <x:c r="J2"/>
      <x:c r="K2" s="6" t="str">
        <x:v>2.4 GHz, 120-degree sector; line-of-sight testing</x:v>
      </x:c>
    </x:row>
    <x:row r="3" ht="42" customHeight="1">
      <x:c r="A3" t="str">
        <x:v>DAQ-029</x:v>
      </x:c>
      <x:c r="B3" s="6" t="str">
        <x:v>Outdoor WiFi AP option B</x:v>
      </x:c>
      <x:c r="C3" s="6" t="str">
        <x:v>TP-Link EAP225-Outdoor</x:v>
      </x:c>
      <x:c r="D3" t="n">
        <x:v>1</x:v>
      </x:c>
      <x:c r="E3" s="8"/>
      <x:c r="F3" s="8" t="str">
        <x:f>IF(E3="","",D3*E3)</x:f>
      </x:c>
      <x:c r="G3" t="str">
        <x:v>Alternative</x:v>
      </x:c>
      <x:c r="H3" t="str">
        <x:v>Low</x:v>
      </x:c>
      <x:c r="I3"/>
      <x:c r="J3"/>
      <x:c r="K3" s="6" t="str">
        <x:v>Omnidirectional fallback</x:v>
      </x:c>
    </x:row>
    <x:row r="4" ht="42" customHeight="1">
      <x:c r="A4" t="str">
        <x:v>DAQ-030</x:v>
      </x:c>
      <x:c r="B4" s="6" t="str">
        <x:v>Outdoor WiFi AP option C</x:v>
      </x:c>
      <x:c r="C4" s="6" t="str">
        <x:v>TP-Link CPE210</x:v>
      </x:c>
      <x:c r="D4" t="n">
        <x:v>1</x:v>
      </x:c>
      <x:c r="E4" s="8"/>
      <x:c r="F4" s="8" t="str">
        <x:f>IF(E4="","",D4*E4)</x:f>
      </x:c>
      <x:c r="G4" t="str">
        <x:v>Alternative</x:v>
      </x:c>
      <x:c r="H4" t="str">
        <x:v>Low</x:v>
      </x:c>
      <x:c r="I4"/>
      <x:c r="J4"/>
      <x:c r="K4" s="6" t="str">
        <x:v>Budget directional fallback</x:v>
      </x:c>
    </x:row>
    <x:row r="5" ht="42" customHeight="1">
      <x:c r="A5" t="str">
        <x:v>DAQ-031</x:v>
      </x:c>
      <x:c r="B5" s="6" t="str">
        <x:v>Outdoor WiFi AP option D</x:v>
      </x:c>
      <x:c r="C5" s="6" t="str">
        <x:v>UniFi AC Mesh + UMA-D</x:v>
      </x:c>
      <x:c r="D5" t="n">
        <x:v>1</x:v>
      </x:c>
      <x:c r="E5" s="8"/>
      <x:c r="F5" s="8" t="str">
        <x:f>IF(E5="","",D5*E5)</x:f>
      </x:c>
      <x:c r="G5" t="str">
        <x:v>Alternative</x:v>
      </x:c>
      <x:c r="H5" t="str">
        <x:v>Low</x:v>
      </x:c>
      <x:c r="I5"/>
      <x:c r="J5"/>
      <x:c r="K5" s="6" t="str">
        <x:v>Directional upgradeable alternative</x:v>
      </x:c>
    </x:row>
    <x:row r="6" ht="42" customHeight="1">
      <x:c r="A6" t="str">
        <x:v>DAQ-032</x:v>
      </x:c>
      <x:c r="B6" s="6" t="str">
        <x:v>Antenna mast and mounting</x:v>
      </x:c>
      <x:c r="C6" s="6" t="str">
        <x:v>Elevated AP mounting hardware</x:v>
      </x:c>
      <x:c r="D6" t="n">
        <x:v>1</x:v>
      </x:c>
      <x:c r="E6" s="8"/>
      <x:c r="F6" s="8" t="str">
        <x:f>IF(E6="","",D6*E6)</x:f>
      </x:c>
      <x:c r="G6" t="str">
        <x:v>To select</x:v>
      </x:c>
      <x:c r="H6" t="str">
        <x:v>Medium</x:v>
      </x:c>
      <x:c r="I6"/>
      <x:c r="J6"/>
      <x:c r="K6" s="6" t="str">
        <x:v>Weather, stability, safe placement</x:v>
      </x:c>
    </x:row>
    <x:row r="7" ht="42" customHeight="1">
      <x:c r="A7" t="str">
        <x:v>DAQ-033</x:v>
      </x:c>
      <x:c r="B7" s="6" t="str">
        <x:v>PoE power &amp; Ethernet</x:v>
      </x:c>
      <x:c r="C7" s="6" t="str">
        <x:v>Compatible injector/switch, outdoor cable</x:v>
      </x:c>
      <x:c r="D7" t="n">
        <x:v>1</x:v>
      </x:c>
      <x:c r="E7" s="8"/>
      <x:c r="F7" s="8" t="str">
        <x:f>IF(E7="","",D7*E7)</x:f>
      </x:c>
      <x:c r="G7" t="str">
        <x:v>To select</x:v>
      </x:c>
      <x:c r="H7" t="str">
        <x:v>High</x:v>
      </x:c>
      <x:c r="I7"/>
      <x:c r="J7"/>
      <x:c r="K7" s="6" t="str">
        <x:v>Confirm AP voltage/PoE standard</x:v>
      </x:c>
    </x:row>
  </x:sheetData>
  <x:pageMargins left="0.7" right="0.7" top="0.75" bottom="0.75" header="0.3" footer="0.3"/>
  <x:tableParts count="1">
    <x:tablePart xmlns:r="http://schemas.openxmlformats.org/officeDocument/2006/relationships" r:id="Rd944a9d49ef04130"/>
  </x:tableParts>
</x:worksheet>
</file>

<file path=xl/worksheets/sheet9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3" hidden="0" customWidth="1"/>
    <x:col min="2" max="2" width="31" hidden="0" customWidth="1"/>
    <x:col min="3" max="3" width="43" hidden="0" customWidth="1"/>
    <x:col min="4" max="4" width="10" hidden="0" customWidth="1"/>
    <x:col min="5" max="5" width="19" hidden="0" customWidth="1"/>
    <x:col min="6" max="6" width="22" hidden="0" customWidth="1"/>
    <x:col min="7" max="7" width="23" hidden="0" customWidth="1"/>
    <x:col min="8" max="8" width="13" hidden="0" customWidth="1"/>
    <x:col min="9" max="9" width="18" hidden="0" customWidth="1"/>
    <x:col min="10" max="10" width="29" hidden="0" customWidth="1"/>
    <x:col min="11" max="11" width="70" hidden="0" customWidth="1"/>
  </x:cols>
  <x:sheetData>
    <x:row r="1" ht="32" customHeight="1">
      <x:c r="A1" s="3" t="str">
        <x:v>ID</x:v>
      </x:c>
      <x:c r="B1" s="3" t="str">
        <x:v>Item / Function</x:v>
      </x:c>
      <x:c r="C1" s="3" t="str">
        <x:v>Candidate / Part</x:v>
      </x:c>
      <x:c r="D1" s="3" t="str">
        <x:v>Qty</x:v>
      </x:c>
      <x:c r="E1" s="3" t="str">
        <x:v>Unit Cost (USD)</x:v>
      </x:c>
      <x:c r="F1" s="3" t="str">
        <x:v>Extended Cost (USD)</x:v>
      </x:c>
      <x:c r="G1" s="3" t="str">
        <x:v>Status</x:v>
      </x:c>
      <x:c r="H1" s="3" t="str">
        <x:v>Priority</x:v>
      </x:c>
      <x:c r="I1" s="3" t="str">
        <x:v>Owner</x:v>
      </x:c>
      <x:c r="J1" s="3" t="str">
        <x:v>Vendor / Link</x:v>
      </x:c>
      <x:c r="K1" s="3" t="str">
        <x:v>Notes / Decision Needed</x:v>
      </x:c>
    </x:row>
    <x:row r="2" ht="42" customHeight="1">
      <x:c r="A2" t="str">
        <x:v>DAQ-034</x:v>
      </x:c>
      <x:c r="B2" s="6" t="str">
        <x:v>Pit computer</x:v>
      </x:c>
      <x:c r="C2" s="6" t="str">
        <x:v>Raspberry Pi / computer running collector</x:v>
      </x:c>
      <x:c r="D2" t="n">
        <x:v>1</x:v>
      </x:c>
      <x:c r="E2" s="8"/>
      <x:c r="F2" s="8" t="str">
        <x:f>IF(E2="","",D2*E2)</x:f>
      </x:c>
      <x:c r="G2" t="str">
        <x:v>Planned</x:v>
      </x:c>
      <x:c r="H2" t="str">
        <x:v>High</x:v>
      </x:c>
      <x:c r="I2"/>
      <x:c r="J2"/>
      <x:c r="K2" s="6" t="str">
        <x:v>InfluxDB + Grafana; hardware selection TBD</x:v>
      </x:c>
    </x:row>
    <x:row r="3" ht="42" customHeight="1">
      <x:c r="A3" t="str">
        <x:v>DAQ-035</x:v>
      </x:c>
      <x:c r="B3" s="6" t="str">
        <x:v>CM4 logging media</x:v>
      </x:c>
      <x:c r="C3" s="6" t="str">
        <x:v>Removable logging storage</x:v>
      </x:c>
      <x:c r="D3" t="n">
        <x:v>1</x:v>
      </x:c>
      <x:c r="E3" s="8"/>
      <x:c r="F3" s="8" t="str">
        <x:f>IF(E3="","",D3*E3)</x:f>
      </x:c>
      <x:c r="G3" t="str">
        <x:v>To select</x:v>
      </x:c>
      <x:c r="H3" t="str">
        <x:v>High</x:v>
      </x:c>
      <x:c r="I3"/>
      <x:c r="J3"/>
      <x:c r="K3" s="6" t="str">
        <x:v>Capacity/endurance and filesystem strategy</x:v>
      </x:c>
    </x:row>
  </x:sheetData>
  <x:pageMargins left="0.7" right="0.7" top="0.75" bottom="0.75" header="0.3" footer="0.3"/>
  <x:tableParts count="1">
    <x:tablePart xmlns:r="http://schemas.openxmlformats.org/officeDocument/2006/relationships" r:id="R125324b96f794f1b"/>
  </x:tableParts>
</x:worksheet>
</file>

<file path=xl/worksheets/sheet10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3" hidden="0" customWidth="1"/>
    <x:col min="2" max="2" width="31" hidden="0" customWidth="1"/>
    <x:col min="3" max="3" width="43" hidden="0" customWidth="1"/>
    <x:col min="4" max="4" width="10" hidden="0" customWidth="1"/>
    <x:col min="5" max="5" width="19" hidden="0" customWidth="1"/>
    <x:col min="6" max="6" width="22" hidden="0" customWidth="1"/>
    <x:col min="7" max="7" width="23" hidden="0" customWidth="1"/>
    <x:col min="8" max="8" width="13" hidden="0" customWidth="1"/>
    <x:col min="9" max="9" width="18" hidden="0" customWidth="1"/>
    <x:col min="10" max="10" width="29" hidden="0" customWidth="1"/>
    <x:col min="11" max="11" width="70" hidden="0" customWidth="1"/>
  </x:cols>
  <x:sheetData>
    <x:row r="1" ht="32" customHeight="1">
      <x:c r="A1" s="3" t="str">
        <x:v>ID</x:v>
      </x:c>
      <x:c r="B1" s="3" t="str">
        <x:v>Item / Function</x:v>
      </x:c>
      <x:c r="C1" s="3" t="str">
        <x:v>Candidate / Part</x:v>
      </x:c>
      <x:c r="D1" s="3" t="str">
        <x:v>Qty</x:v>
      </x:c>
      <x:c r="E1" s="3" t="str">
        <x:v>Unit Cost (USD)</x:v>
      </x:c>
      <x:c r="F1" s="3" t="str">
        <x:v>Extended Cost (USD)</x:v>
      </x:c>
      <x:c r="G1" s="3" t="str">
        <x:v>Status</x:v>
      </x:c>
      <x:c r="H1" s="3" t="str">
        <x:v>Priority</x:v>
      </x:c>
      <x:c r="I1" s="3" t="str">
        <x:v>Owner</x:v>
      </x:c>
      <x:c r="J1" s="3" t="str">
        <x:v>Vendor / Link</x:v>
      </x:c>
      <x:c r="K1" s="3" t="str">
        <x:v>Notes / Decision Needed</x:v>
      </x:c>
    </x:row>
    <x:row r="2" ht="42" customHeight="1">
      <x:c r="A2" t="str">
        <x:v>DAQ-037</x:v>
      </x:c>
      <x:c r="B2" s="6" t="str">
        <x:v>CM4 enclosure</x:v>
      </x:c>
      <x:c r="C2" s="6" t="str">
        <x:v>Sealed enclosure under driver's knees</x:v>
      </x:c>
      <x:c r="D2" t="n">
        <x:v>1</x:v>
      </x:c>
      <x:c r="E2" s="8"/>
      <x:c r="F2" s="8" t="str">
        <x:f>IF(E2="","",D2*E2)</x:f>
      </x:c>
      <x:c r="G2" t="str">
        <x:v>To select</x:v>
      </x:c>
      <x:c r="H2" t="str">
        <x:v>High</x:v>
      </x:c>
      <x:c r="I2"/>
      <x:c r="J2"/>
      <x:c r="K2" s="6" t="str">
        <x:v>Thermals, service access, cable glands</x:v>
      </x:c>
    </x:row>
    <x:row r="3" ht="42" customHeight="1">
      <x:c r="A3" t="str">
        <x:v>DAQ-038</x:v>
      </x:c>
      <x:c r="B3" s="6" t="str">
        <x:v>Antenna body mount</x:v>
      </x:c>
      <x:c r="C3" s="6" t="str">
        <x:v>Low-profile mounting and seal</x:v>
      </x:c>
      <x:c r="D3" t="n">
        <x:v>1</x:v>
      </x:c>
      <x:c r="E3" s="8"/>
      <x:c r="F3" s="8" t="str">
        <x:f>IF(E3="","",D3*E3)</x:f>
      </x:c>
      <x:c r="G3" t="str">
        <x:v>To select</x:v>
      </x:c>
      <x:c r="H3" t="str">
        <x:v>Medium</x:v>
      </x:c>
      <x:c r="I3"/>
      <x:c r="J3"/>
      <x:c r="K3" s="6" t="str">
        <x:v>Check carbon fiber/ground-plane needs</x:v>
      </x:c>
    </x:row>
  </x:sheetData>
  <x:pageMargins left="0.7" right="0.7" top="0.75" bottom="0.75" header="0.3" footer="0.3"/>
  <x:tableParts count="1">
    <x:tablePart xmlns:r="http://schemas.openxmlformats.org/officeDocument/2006/relationships" r:id="R8e3b9d99795b4c32"/>
  </x:tableParts>
</x:worksheet>
</file>

<file path=xl/worksheets/sheet11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3" hidden="0" customWidth="1"/>
    <x:col min="2" max="2" width="31" hidden="0" customWidth="1"/>
    <x:col min="3" max="3" width="43" hidden="0" customWidth="1"/>
    <x:col min="4" max="4" width="10" hidden="0" customWidth="1"/>
    <x:col min="5" max="5" width="19" hidden="0" customWidth="1"/>
    <x:col min="6" max="6" width="22" hidden="0" customWidth="1"/>
    <x:col min="7" max="7" width="23" hidden="0" customWidth="1"/>
    <x:col min="8" max="8" width="13" hidden="0" customWidth="1"/>
    <x:col min="9" max="9" width="18" hidden="0" customWidth="1"/>
    <x:col min="10" max="10" width="29" hidden="0" customWidth="1"/>
    <x:col min="11" max="11" width="70" hidden="0" customWidth="1"/>
  </x:cols>
  <x:sheetData>
    <x:row r="1" ht="32" customHeight="1">
      <x:c r="A1" s="3" t="str">
        <x:v>ID</x:v>
      </x:c>
      <x:c r="B1" s="3" t="str">
        <x:v>Item / Function</x:v>
      </x:c>
      <x:c r="C1" s="3" t="str">
        <x:v>Candidate / Part</x:v>
      </x:c>
      <x:c r="D1" s="3" t="str">
        <x:v>Qty</x:v>
      </x:c>
      <x:c r="E1" s="3" t="str">
        <x:v>Unit Cost (USD)</x:v>
      </x:c>
      <x:c r="F1" s="3" t="str">
        <x:v>Extended Cost (USD)</x:v>
      </x:c>
      <x:c r="G1" s="3" t="str">
        <x:v>Status</x:v>
      </x:c>
      <x:c r="H1" s="3" t="str">
        <x:v>Priority</x:v>
      </x:c>
      <x:c r="I1" s="3" t="str">
        <x:v>Owner</x:v>
      </x:c>
      <x:c r="J1" s="3" t="str">
        <x:v>Vendor / Link</x:v>
      </x:c>
      <x:c r="K1" s="3" t="str">
        <x:v>Notes / Decision Needed</x:v>
      </x:c>
    </x:row>
    <x:row r="2" ht="42" customHeight="1">
      <x:c r="A2" t="str">
        <x:v>DAQ-039</x:v>
      </x:c>
      <x:c r="B2" s="6" t="str">
        <x:v>Official CM4 antenna kit</x:v>
      </x:c>
      <x:c r="C2" s="6" t="str">
        <x:v>Raspberry Pi official antenna kit</x:v>
      </x:c>
      <x:c r="D2" t="n">
        <x:v>1</x:v>
      </x:c>
      <x:c r="E2" s="8"/>
      <x:c r="F2" s="8" t="str">
        <x:f>IF(E2="","",D2*E2)</x:f>
      </x:c>
      <x:c r="G2" t="str">
        <x:v>Reference / test</x:v>
      </x:c>
      <x:c r="H2" t="str">
        <x:v>Low</x:v>
      </x:c>
      <x:c r="I2"/>
      <x:c r="J2"/>
      <x:c r="K2" s="6" t="str">
        <x:v>Bench RF baseline</x:v>
      </x:c>
    </x:row>
    <x:row r="3" ht="42" customHeight="1">
      <x:c r="A3" t="str">
        <x:v>DAQ-040</x:v>
      </x:c>
      <x:c r="B3" s="6" t="str">
        <x:v>Spare connectors and modules</x:v>
      </x:c>
      <x:c r="C3" s="6" t="str">
        <x:v>Prototype rework/spares</x:v>
      </x:c>
      <x:c r="D3" t="n">
        <x:v>1</x:v>
      </x:c>
      <x:c r="E3" s="8"/>
      <x:c r="F3" s="8" t="str">
        <x:f>IF(E3="","",D3*E3)</x:f>
      </x:c>
      <x:c r="G3" t="str">
        <x:v>To budget</x:v>
      </x:c>
      <x:c r="H3" t="str">
        <x:v>Medium</x:v>
      </x:c>
      <x:c r="I3"/>
      <x:c r="J3"/>
      <x:c r="K3" s="6" t="str">
        <x:v>Allocate after initial part selection</x:v>
      </x:c>
    </x:row>
  </x:sheetData>
  <x:pageMargins left="0.7" right="0.7" top="0.75" bottom="0.75" header="0.3" footer="0.3"/>
  <x:tableParts count="1">
    <x:tablePart xmlns:r="http://schemas.openxmlformats.org/officeDocument/2006/relationships" r:id="R996b95db2e154683"/>
  </x:tableParts>
</x:worksheet>
</file>

<file path=xl/worksheets/sheet12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22" hidden="0" customWidth="1"/>
    <x:col min="2" max="2" width="59" hidden="0" customWidth="1"/>
    <x:col min="3" max="3" width="48" hidden="0" customWidth="1"/>
    <x:col min="4" max="4" width="45" hidden="0" customWidth="1"/>
  </x:cols>
  <x:sheetData>
    <x:row r="1">
      <x:c r="A1" s="3" t="str">
        <x:v>Area</x:v>
      </x:c>
      <x:c r="B1" s="3" t="str">
        <x:v>Current decision</x:v>
      </x:c>
      <x:c r="C1" s="3" t="str">
        <x:v>Open issue</x:v>
      </x:c>
      <x:c r="D1" s="3" t="str">
        <x:v>Next action</x:v>
      </x:c>
    </x:row>
    <x:row r="2" ht="44" customHeight="1">
      <x:c r="A2" s="6" t="str">
        <x:v>WiFi</x:v>
      </x:c>
      <x:c r="B2" s="6" t="str">
        <x:v>2.4 GHz private network; SD store-and-forward</x:v>
      </x:c>
      <x:c r="C2" s="6" t="str">
        <x:v>Actual course RF coverage</x:v>
      </x:c>
      <x:c r="D2" s="6" t="str">
        <x:v>Test pit AP and car antenna</x:v>
      </x:c>
    </x:row>
    <x:row r="3" ht="44" customHeight="1">
      <x:c r="A3" s="6" t="str">
        <x:v>Pit AP</x:v>
      </x:c>
      <x:c r="B3" s="6" t="str">
        <x:v>MikroTik mANTBox 2 12s preferred candidate</x:v>
      </x:c>
      <x:c r="C3" s="6" t="str">
        <x:v>Sector geometry / venue placement</x:v>
      </x:c>
      <x:c r="D3" s="6" t="str">
        <x:v>Confirm course geometry</x:v>
      </x:c>
    </x:row>
    <x:row r="4" ht="44" customHeight="1">
      <x:c r="A4" s="6" t="str">
        <x:v>Car antenna</x:v>
      </x:c>
      <x:c r="B4" s="6" t="str">
        <x:v>Poynting PUCK-12-V2 / PUCK-3-V2 shortlist</x:v>
      </x:c>
      <x:c r="C4" s="6" t="str">
        <x:v>Coax length &gt;4 ft; antenna compatibility/compliance</x:v>
      </x:c>
      <x:c r="D4" s="6" t="str">
        <x:v>Select mount and RF cable</x:v>
      </x:c>
    </x:row>
    <x:row r="5" ht="44" customHeight="1">
      <x:c r="A5" s="6" t="str">
        <x:v>CM4</x:v>
      </x:c>
      <x:c r="B5" s="6" t="str">
        <x:v>CM4108032 selected: wireless, 8 GB RAM, 32 GB eMMC</x:v>
      </x:c>
      <x:c r="C5" s="6" t="str">
        <x:v>Verify supply/availability and carrier power budget</x:v>
      </x:c>
      <x:c r="D5" s="6" t="str">
        <x:v>Choose module SKU</x:v>
      </x:c>
    </x:row>
    <x:row r="6" ht="44" customHeight="1">
      <x:c r="A6" s="6" t="str">
        <x:v>Logging</x:v>
      </x:c>
      <x:c r="B6" s="6" t="str">
        <x:v>eMMC boot + onboard USB-to-microSD logging slot</x:v>
      </x:c>
      <x:c r="C6" s="6" t="str">
        <x:v>Select integrated USB-to-SD controller and slot</x:v>
      </x:c>
      <x:c r="D6" s="6" t="str">
        <x:v>Choose storage interface</x:v>
      </x:c>
    </x:row>
    <x:row r="7" ht="44" customHeight="1">
      <x:c r="A7" s="6" t="str">
        <x:v>GNSS/IMU</x:v>
      </x:c>
      <x:c r="B7" s="6" t="str">
        <x:v>CM4-connected GNSS and IMU under consideration</x:v>
      </x:c>
      <x:c r="C7" s="6" t="str">
        <x:v>Magnetometer remote interface</x:v>
      </x:c>
      <x:c r="D7" s="6" t="str">
        <x:v>Freeze sensor architecture</x:v>
      </x:c>
    </x:row>
    <x:row r="8" ht="44" customHeight="1">
      <x:c r="A8" s="6" t="str">
        <x:v>CAN</x:v>
      </x:c>
      <x:c r="B8" s="6" t="str">
        <x:v>ECU/PDM read-only CAN intended</x:v>
      </x:c>
      <x:c r="C8" s="6" t="str">
        <x:v>CM4 vs other controller</x:v>
      </x:c>
      <x:c r="D8" s="6" t="str">
        <x:v>Decide bus ownership</x:v>
      </x:c>
    </x:row>
    <x:row r="9" ht="44" customHeight="1">
      <x:c r="A9" s="6" t="str">
        <x:v>Acquisition nodes</x:v>
      </x:c>
      <x:c r="B9" s="6" t="str">
        <x:v>Common MCX N947 front/rear PCB</x:v>
      </x:c>
      <x:c r="C9" s="6" t="str">
        <x:v>PHY, buffer memory, channels</x:v>
      </x:c>
      <x:c r="D9" s="6" t="str">
        <x:v>Freeze node interfaces</x:v>
      </x:c>
    </x:row>
    <x:row r="10" ht="44" customHeight="1">
      <x:c r="A10" s="6" t="str">
        <x:v>Power</x:v>
      </x:c>
      <x:c r="B10" s="6" t="str">
        <x:v>Protected vehicle 12 V supply</x:v>
      </x:c>
      <x:c r="C10" s="6" t="str">
        <x:v>Actual transients/load budget</x:v>
      </x:c>
      <x:c r="D10" s="6" t="str">
        <x:v>Size power chain</x:v>
      </x:c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3" hidden="0" customWidth="1"/>
    <x:col min="2" max="2" width="32" hidden="0" customWidth="1"/>
    <x:col min="3" max="3" width="52" hidden="0" customWidth="1"/>
    <x:col min="4" max="4" width="10" hidden="0" customWidth="1"/>
    <x:col min="5" max="5" width="19" hidden="0" customWidth="1"/>
    <x:col min="6" max="6" width="22" hidden="0" customWidth="1"/>
    <x:col min="7" max="7" width="23" hidden="0" customWidth="1"/>
    <x:col min="8" max="8" width="13" hidden="0" customWidth="1"/>
    <x:col min="9" max="9" width="18" hidden="0" customWidth="1"/>
    <x:col min="10" max="10" width="55" hidden="0" customWidth="1"/>
    <x:col min="11" max="11" width="76" hidden="0" customWidth="1"/>
  </x:cols>
  <x:sheetData>
    <x:row r="1" ht="32" customHeight="1">
      <x:c r="A1" s="12" t="str">
        <x:v>ID</x:v>
      </x:c>
      <x:c r="B1" s="12" t="str">
        <x:v>Item / Function</x:v>
      </x:c>
      <x:c r="C1" s="12" t="str">
        <x:v>Candidate / Part</x:v>
      </x:c>
      <x:c r="D1" s="12" t="str">
        <x:v>Qty</x:v>
      </x:c>
      <x:c r="E1" s="12" t="str">
        <x:v>Unit Cost (USD)</x:v>
      </x:c>
      <x:c r="F1" s="12" t="str">
        <x:v>Extended Cost (USD)</x:v>
      </x:c>
      <x:c r="G1" s="12" t="str">
        <x:v>Status</x:v>
      </x:c>
      <x:c r="H1" s="12" t="str">
        <x:v>Priority</x:v>
      </x:c>
      <x:c r="I1" s="12" t="str">
        <x:v>Owner</x:v>
      </x:c>
      <x:c r="J1" s="12" t="str">
        <x:v>Vendor / Link</x:v>
      </x:c>
      <x:c r="K1" s="12" t="str">
        <x:v>Notes / Decision Needed</x:v>
      </x:c>
    </x:row>
    <x:row r="2" ht="54" customHeight="1">
      <x:c r="A2" t="str">
        <x:v>DAQ-041</x:v>
      </x:c>
      <x:c r="B2" s="6" t="str">
        <x:v>CM4 SPI 10BASE-T1S development</x:v>
      </x:c>
      <x:c r="C2" s="6" t="str">
        <x:v>MikroElektronika Two-Wire ETH Click (MIKROE-5543)</x:v>
      </x:c>
      <x:c r="D2" t="n">
        <x:v>1</x:v>
      </x:c>
      <x:c r="E2" s="8"/>
      <x:c r="F2" s="8" t="str">
        <x:f>IF(E2="","",D2*E2)</x:f>
      </x:c>
      <x:c r="G2" t="str">
        <x:v>Recommended</x:v>
      </x:c>
      <x:c r="H2" t="str">
        <x:v>High</x:v>
      </x:c>
      <x:c r="I2" t="str"/>
      <x:c r="J2" t="str">
        <x:v>https://www.microchip.com/en-us/development-tool/MIKROE-5543</x:v>
      </x:c>
      <x:c r="K2" s="6" t="str">
        <x:v>LAN8651 development board; requires SPI/GPIO wiring adapter to CM4. Test Linux driver, PLCA and packets.</x:v>
      </x:c>
    </x:row>
    <x:row r="3" ht="54" customHeight="1">
      <x:c r="A3" t="str">
        <x:v>DAQ-042</x:v>
      </x:c>
      <x:c r="B3" s="6" t="str">
        <x:v>USB 10BASE-T1S test interface</x:v>
      </x:c>
      <x:c r="C3" s="6" t="str">
        <x:v>Microchip EVB-LAN8670-USB</x:v>
      </x:c>
      <x:c r="D3" t="n">
        <x:v>1</x:v>
      </x:c>
      <x:c r="E3" s="8"/>
      <x:c r="F3" s="8" t="str">
        <x:f>IF(E3="","",D3*E3)</x:f>
      </x:c>
      <x:c r="G3" t="str">
        <x:v>Recommended</x:v>
      </x:c>
      <x:c r="H3" t="str">
        <x:v>High</x:v>
      </x:c>
      <x:c r="I3" t="str"/>
      <x:c r="J3" t="str"/>
      <x:c r="K3" s="6" t="str">
        <x:v>Second T1S endpoint for bench network testing; confirm exact board availability and interface.</x:v>
      </x:c>
    </x:row>
    <x:row r="4" ht="66" customHeight="1">
      <x:c r="A4" t="str">
        <x:v>DAQ-049</x:v>
      </x:c>
      <x:c r="B4" s="6" t="str">
        <x:v>Dedicated CM4 validation carrier</x:v>
      </x:c>
      <x:c r="C4" s="6" t="str">
        <x:v>Official Raspberry Pi Compute Module 4 IO Board (CM4IO)</x:v>
      </x:c>
      <x:c r="D4" t="n">
        <x:v>1</x:v>
      </x:c>
      <x:c r="G4" t="str">
        <x:v>Recommended</x:v>
      </x:c>
      <x:c r="H4" t="str">
        <x:v>High</x:v>
      </x:c>
      <x:c r="J4" t="str">
        <x:v>https://www.raspberrypi.com/products/compute-module-4-io-board/</x:v>
      </x:c>
      <x:c r="K4" s="6" t="str">
        <x:v>Official reference board with eMMC flashing, USB 2.0, Ethernet RJ45, GPIO/SPI, PCIe, RTC, HDMI. Its microSD socket does NOT work with eMMC CM4. Official KiCad files available; well-reviewed.</x:v>
      </x:c>
    </x:row>
  </x:sheetData>
  <x:pageMargins left="0.7" right="0.7" top="0.75" bottom="0.75" header="0.3" footer="0.3"/>
  <x:tableParts count="1">
    <x:tablePart xmlns:r="http://schemas.openxmlformats.org/officeDocument/2006/relationships" r:id="R559cef764a8e401a"/>
  </x:tableParts>
</x:worksheet>
</file>